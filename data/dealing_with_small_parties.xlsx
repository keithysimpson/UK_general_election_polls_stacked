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th\Documents\programming\UK polls\"/>
    </mc:Choice>
  </mc:AlternateContent>
  <xr:revisionPtr revIDLastSave="0" documentId="13_ncr:1_{44896582-2C03-4FC1-9142-098D9681F42D}" xr6:coauthVersionLast="47" xr6:coauthVersionMax="47" xr10:uidLastSave="{00000000-0000-0000-0000-000000000000}"/>
  <bookViews>
    <workbookView xWindow="-98" yWindow="-98" windowWidth="28996" windowHeight="15675" xr2:uid="{154890F8-E036-4085-B1A7-85E5FD30E389}"/>
  </bookViews>
  <sheets>
    <sheet name="historic_combined" sheetId="12" r:id="rId1"/>
    <sheet name="historic_votes" sheetId="11" r:id="rId2"/>
    <sheet name="manual_extract" sheetId="2" r:id="rId3"/>
    <sheet name="2024" sheetId="1" r:id="rId4"/>
    <sheet name="2019" sheetId="3" r:id="rId5"/>
    <sheet name="2017" sheetId="4" r:id="rId6"/>
    <sheet name="2015" sheetId="5" r:id="rId7"/>
    <sheet name="2010" sheetId="6" r:id="rId8"/>
    <sheet name="2005" sheetId="7" r:id="rId9"/>
    <sheet name="2001" sheetId="8" r:id="rId10"/>
    <sheet name="1997" sheetId="9" r:id="rId11"/>
    <sheet name="Sheet9" sheetId="10" r:id="rId12"/>
  </sheets>
  <definedNames>
    <definedName name="_xlnm._FilterDatabase" localSheetId="2" hidden="1">manual_extract!$M$5:$AG$15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" i="12" l="1"/>
  <c r="X6" i="12"/>
  <c r="X7" i="12"/>
  <c r="X8" i="12"/>
  <c r="X9" i="12"/>
  <c r="X10" i="12"/>
  <c r="X11" i="12"/>
  <c r="X12" i="12"/>
  <c r="X13" i="12"/>
  <c r="X14" i="12"/>
  <c r="X15" i="12"/>
  <c r="X16" i="12"/>
  <c r="X17" i="12"/>
  <c r="X18" i="12"/>
  <c r="X19" i="12"/>
  <c r="X20" i="12"/>
  <c r="X21" i="12"/>
  <c r="X22" i="12"/>
  <c r="X23" i="12"/>
  <c r="X24" i="12"/>
  <c r="X25" i="12"/>
  <c r="X26" i="12"/>
  <c r="X27" i="12"/>
  <c r="X28" i="12"/>
  <c r="X29" i="12"/>
  <c r="X30" i="12"/>
  <c r="X31" i="12"/>
  <c r="X32" i="12"/>
  <c r="X4" i="12"/>
  <c r="Q5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4" i="12"/>
  <c r="M6" i="11" l="1"/>
  <c r="N6" i="11"/>
  <c r="O6" i="11"/>
  <c r="P6" i="11"/>
  <c r="M7" i="11"/>
  <c r="N7" i="11"/>
  <c r="O7" i="11"/>
  <c r="P7" i="11"/>
  <c r="M8" i="11"/>
  <c r="N8" i="11"/>
  <c r="O8" i="11"/>
  <c r="P8" i="11"/>
  <c r="M9" i="11"/>
  <c r="N9" i="11"/>
  <c r="O9" i="11"/>
  <c r="P9" i="11"/>
  <c r="M10" i="11"/>
  <c r="N10" i="11"/>
  <c r="O10" i="11"/>
  <c r="P10" i="11"/>
  <c r="M11" i="11"/>
  <c r="N11" i="11"/>
  <c r="O11" i="11"/>
  <c r="P11" i="11"/>
  <c r="M12" i="11"/>
  <c r="N12" i="11"/>
  <c r="O12" i="11"/>
  <c r="P12" i="11"/>
  <c r="M13" i="11"/>
  <c r="N13" i="11"/>
  <c r="O13" i="11"/>
  <c r="P13" i="11"/>
  <c r="M14" i="11"/>
  <c r="N14" i="11"/>
  <c r="O14" i="11"/>
  <c r="P14" i="11"/>
  <c r="M15" i="11"/>
  <c r="N15" i="11"/>
  <c r="O15" i="11"/>
  <c r="P15" i="11"/>
  <c r="M16" i="11"/>
  <c r="N16" i="11"/>
  <c r="O16" i="11"/>
  <c r="P16" i="11"/>
  <c r="M17" i="11"/>
  <c r="N17" i="11"/>
  <c r="O17" i="11"/>
  <c r="P17" i="11"/>
  <c r="M18" i="11"/>
  <c r="N18" i="11"/>
  <c r="O18" i="11"/>
  <c r="P18" i="11"/>
  <c r="M19" i="11"/>
  <c r="N19" i="11"/>
  <c r="O19" i="11"/>
  <c r="P19" i="11"/>
  <c r="M20" i="11"/>
  <c r="N20" i="11"/>
  <c r="O20" i="11"/>
  <c r="P20" i="11"/>
  <c r="M21" i="11"/>
  <c r="N21" i="11"/>
  <c r="O21" i="11"/>
  <c r="P21" i="11"/>
  <c r="M22" i="11"/>
  <c r="N22" i="11"/>
  <c r="O22" i="11"/>
  <c r="P22" i="11"/>
  <c r="M23" i="11"/>
  <c r="N23" i="11"/>
  <c r="O23" i="11"/>
  <c r="P23" i="11"/>
  <c r="M24" i="11"/>
  <c r="N24" i="11"/>
  <c r="O24" i="11"/>
  <c r="P24" i="11"/>
  <c r="M25" i="11"/>
  <c r="N25" i="11"/>
  <c r="O25" i="11"/>
  <c r="P25" i="11"/>
  <c r="M26" i="11"/>
  <c r="N26" i="11"/>
  <c r="O26" i="11"/>
  <c r="P26" i="11"/>
  <c r="M27" i="11"/>
  <c r="N27" i="11"/>
  <c r="O27" i="11"/>
  <c r="P27" i="11"/>
  <c r="M28" i="11"/>
  <c r="N28" i="11"/>
  <c r="O28" i="11"/>
  <c r="P28" i="11"/>
  <c r="M29" i="11"/>
  <c r="N29" i="11"/>
  <c r="O29" i="11"/>
  <c r="P29" i="11"/>
  <c r="M30" i="11"/>
  <c r="N30" i="11"/>
  <c r="O30" i="11"/>
  <c r="P30" i="11"/>
  <c r="M31" i="11"/>
  <c r="N31" i="11"/>
  <c r="O31" i="11"/>
  <c r="P31" i="11"/>
  <c r="M32" i="11"/>
  <c r="N32" i="11"/>
  <c r="O32" i="11"/>
  <c r="P32" i="11"/>
  <c r="M33" i="11"/>
  <c r="N33" i="11"/>
  <c r="O33" i="11"/>
  <c r="P33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6" i="11"/>
  <c r="AG21" i="2"/>
  <c r="AF21" i="2"/>
  <c r="AE21" i="2"/>
  <c r="AD21" i="2"/>
  <c r="AC21" i="2"/>
  <c r="AB21" i="2"/>
  <c r="AA21" i="2"/>
  <c r="Z21" i="2"/>
  <c r="K21" i="2"/>
  <c r="Q16" i="10"/>
  <c r="Q17" i="10" s="1"/>
  <c r="Q9" i="10"/>
  <c r="Q10" i="10"/>
  <c r="Q11" i="10"/>
  <c r="Q12" i="10"/>
  <c r="Q13" i="10"/>
  <c r="Q8" i="10"/>
  <c r="Q14" i="10"/>
  <c r="B3" i="10"/>
  <c r="A3" i="10"/>
  <c r="Q7" i="10" s="1"/>
  <c r="K23" i="2"/>
  <c r="K24" i="2"/>
  <c r="K25" i="2"/>
  <c r="K26" i="2"/>
  <c r="K27" i="2"/>
  <c r="K28" i="2"/>
  <c r="K29" i="2"/>
  <c r="K22" i="2"/>
  <c r="AG22" i="2"/>
  <c r="AF22" i="2"/>
  <c r="AE22" i="2"/>
  <c r="AD22" i="2"/>
  <c r="AC22" i="2"/>
  <c r="AB22" i="2"/>
  <c r="AA22" i="2"/>
  <c r="Z22" i="2"/>
  <c r="R17" i="9"/>
  <c r="R16" i="9"/>
  <c r="R9" i="9"/>
  <c r="R10" i="9"/>
  <c r="R11" i="9"/>
  <c r="R12" i="9"/>
  <c r="R13" i="9"/>
  <c r="R8" i="9"/>
  <c r="R14" i="9"/>
  <c r="R7" i="9"/>
  <c r="C4" i="9"/>
  <c r="B4" i="9"/>
  <c r="Z24" i="2"/>
  <c r="AA24" i="2"/>
  <c r="AB24" i="2"/>
  <c r="AC24" i="2"/>
  <c r="AD24" i="2"/>
  <c r="AE24" i="2"/>
  <c r="AF24" i="2"/>
  <c r="AG24" i="2"/>
  <c r="Z25" i="2"/>
  <c r="AA25" i="2"/>
  <c r="AB25" i="2"/>
  <c r="AC25" i="2"/>
  <c r="AD25" i="2"/>
  <c r="AE25" i="2"/>
  <c r="AF25" i="2"/>
  <c r="AG25" i="2"/>
  <c r="Z26" i="2"/>
  <c r="AA26" i="2"/>
  <c r="AB26" i="2"/>
  <c r="AC26" i="2"/>
  <c r="AD26" i="2"/>
  <c r="AE26" i="2"/>
  <c r="AF26" i="2"/>
  <c r="AG26" i="2"/>
  <c r="Z27" i="2"/>
  <c r="AA27" i="2"/>
  <c r="AB27" i="2"/>
  <c r="AC27" i="2"/>
  <c r="AD27" i="2"/>
  <c r="AE27" i="2"/>
  <c r="AF27" i="2"/>
  <c r="AG27" i="2"/>
  <c r="Z28" i="2"/>
  <c r="AA28" i="2"/>
  <c r="AB28" i="2"/>
  <c r="AC28" i="2"/>
  <c r="AD28" i="2"/>
  <c r="AE28" i="2"/>
  <c r="AF28" i="2"/>
  <c r="AG28" i="2"/>
  <c r="Z29" i="2"/>
  <c r="AA29" i="2"/>
  <c r="AB29" i="2"/>
  <c r="AC29" i="2"/>
  <c r="AD29" i="2"/>
  <c r="AE29" i="2"/>
  <c r="AF29" i="2"/>
  <c r="AG29" i="2"/>
  <c r="AG23" i="2"/>
  <c r="AF23" i="2"/>
  <c r="AE23" i="2"/>
  <c r="AD23" i="2"/>
  <c r="AC23" i="2"/>
  <c r="AB23" i="2"/>
  <c r="AA23" i="2"/>
  <c r="Z23" i="2"/>
  <c r="S19" i="8"/>
  <c r="S18" i="8"/>
  <c r="S16" i="8"/>
  <c r="S11" i="8"/>
  <c r="S12" i="8"/>
  <c r="S13" i="8"/>
  <c r="S14" i="8"/>
  <c r="S15" i="8"/>
  <c r="S10" i="8"/>
  <c r="S9" i="8"/>
  <c r="C5" i="8"/>
  <c r="B5" i="8"/>
  <c r="AG6" i="2"/>
  <c r="AF6" i="2"/>
  <c r="AE6" i="2"/>
  <c r="AD6" i="2"/>
  <c r="AC6" i="2"/>
  <c r="AB6" i="2"/>
  <c r="AA6" i="2"/>
  <c r="Z6" i="2"/>
  <c r="S17" i="7"/>
  <c r="S18" i="7" s="1"/>
  <c r="S10" i="7"/>
  <c r="S11" i="7"/>
  <c r="S12" i="7"/>
  <c r="S13" i="7"/>
  <c r="S14" i="7"/>
  <c r="S15" i="7"/>
  <c r="S9" i="7"/>
  <c r="S8" i="7"/>
  <c r="B4" i="7"/>
  <c r="A4" i="7"/>
  <c r="AG7" i="2"/>
  <c r="AF7" i="2"/>
  <c r="AE7" i="2"/>
  <c r="AD7" i="2"/>
  <c r="AC7" i="2"/>
  <c r="AB7" i="2"/>
  <c r="AA7" i="2"/>
  <c r="Z7" i="2"/>
  <c r="AG8" i="2"/>
  <c r="AF8" i="2"/>
  <c r="AE8" i="2"/>
  <c r="AD8" i="2"/>
  <c r="AC8" i="2"/>
  <c r="AB8" i="2"/>
  <c r="AA8" i="2"/>
  <c r="Z8" i="2"/>
  <c r="T20" i="6"/>
  <c r="T17" i="6"/>
  <c r="C5" i="6"/>
  <c r="B5" i="6"/>
  <c r="T10" i="6" s="1"/>
  <c r="T19" i="6"/>
  <c r="T16" i="6"/>
  <c r="T15" i="6"/>
  <c r="T14" i="6"/>
  <c r="T13" i="6"/>
  <c r="T12" i="6"/>
  <c r="T11" i="6"/>
  <c r="AG9" i="2"/>
  <c r="AF9" i="2"/>
  <c r="AE9" i="2"/>
  <c r="AD9" i="2"/>
  <c r="AC9" i="2"/>
  <c r="AB9" i="2"/>
  <c r="AA9" i="2"/>
  <c r="Z9" i="2"/>
  <c r="AG10" i="2"/>
  <c r="AF10" i="2"/>
  <c r="AE10" i="2"/>
  <c r="AD10" i="2"/>
  <c r="AC10" i="2"/>
  <c r="AB10" i="2"/>
  <c r="AA10" i="2"/>
  <c r="Z10" i="2"/>
  <c r="T18" i="5"/>
  <c r="T19" i="5" s="1"/>
  <c r="T16" i="5"/>
  <c r="T15" i="5"/>
  <c r="T14" i="5"/>
  <c r="T13" i="5"/>
  <c r="T12" i="5"/>
  <c r="T11" i="5"/>
  <c r="T10" i="5"/>
  <c r="T9" i="5"/>
  <c r="C5" i="5"/>
  <c r="B5" i="5"/>
  <c r="AG11" i="2"/>
  <c r="AF11" i="2"/>
  <c r="AE11" i="2"/>
  <c r="AD11" i="2"/>
  <c r="AC11" i="2"/>
  <c r="AB11" i="2"/>
  <c r="AA11" i="2"/>
  <c r="Z11" i="2"/>
  <c r="AG12" i="2"/>
  <c r="AF12" i="2"/>
  <c r="AE12" i="2"/>
  <c r="AD12" i="2"/>
  <c r="AC12" i="2"/>
  <c r="AB12" i="2"/>
  <c r="AA12" i="2"/>
  <c r="Z12" i="2"/>
  <c r="AG13" i="2"/>
  <c r="AF13" i="2"/>
  <c r="AE13" i="2"/>
  <c r="AD13" i="2"/>
  <c r="AC13" i="2"/>
  <c r="AB13" i="2"/>
  <c r="AA13" i="2"/>
  <c r="Z13" i="2"/>
  <c r="T19" i="4"/>
  <c r="T18" i="4"/>
  <c r="T11" i="4"/>
  <c r="T12" i="4"/>
  <c r="T13" i="4"/>
  <c r="T14" i="4"/>
  <c r="T15" i="4"/>
  <c r="T10" i="4"/>
  <c r="C5" i="4"/>
  <c r="T16" i="4" s="1"/>
  <c r="B5" i="4"/>
  <c r="T9" i="4" s="1"/>
  <c r="AA14" i="2"/>
  <c r="AB14" i="2"/>
  <c r="AC14" i="2"/>
  <c r="AD14" i="2"/>
  <c r="AE14" i="2"/>
  <c r="AF14" i="2"/>
  <c r="AG14" i="2"/>
  <c r="AA15" i="2"/>
  <c r="AB15" i="2"/>
  <c r="AC15" i="2"/>
  <c r="AD15" i="2"/>
  <c r="AE15" i="2"/>
  <c r="AF15" i="2"/>
  <c r="AG15" i="2"/>
  <c r="Z15" i="2"/>
  <c r="Z14" i="2"/>
  <c r="B2" i="3"/>
  <c r="S13" i="3" s="1"/>
  <c r="A2" i="3"/>
  <c r="S6" i="3" s="1"/>
  <c r="AD6" i="1"/>
  <c r="S8" i="3"/>
  <c r="S9" i="3"/>
  <c r="S10" i="3"/>
  <c r="S11" i="3"/>
  <c r="S12" i="3"/>
  <c r="S7" i="3"/>
  <c r="C2" i="1"/>
  <c r="AD13" i="1" s="1"/>
  <c r="B2" i="1"/>
  <c r="W3" i="1"/>
  <c r="W11" i="1"/>
  <c r="AD10" i="1" s="1"/>
  <c r="W7" i="1"/>
  <c r="AD7" i="1" s="1"/>
  <c r="W8" i="1"/>
  <c r="AD8" i="1" s="1"/>
  <c r="W9" i="1"/>
  <c r="AD9" i="1" s="1"/>
  <c r="W10" i="1"/>
  <c r="W12" i="1"/>
  <c r="AD11" i="1" s="1"/>
  <c r="W13" i="1"/>
  <c r="AD12" i="1" s="1"/>
  <c r="W14" i="1"/>
  <c r="W15" i="1"/>
  <c r="W16" i="1"/>
  <c r="W17" i="1"/>
  <c r="W6" i="1"/>
  <c r="X17" i="1"/>
  <c r="X7" i="1"/>
  <c r="X8" i="1"/>
  <c r="X9" i="1"/>
  <c r="X10" i="1"/>
  <c r="X11" i="1"/>
  <c r="X12" i="1"/>
  <c r="X13" i="1"/>
  <c r="X14" i="1"/>
  <c r="X15" i="1"/>
  <c r="X16" i="1"/>
  <c r="X6" i="1"/>
  <c r="D15" i="1"/>
  <c r="D11" i="1"/>
  <c r="D10" i="1"/>
  <c r="D9" i="1"/>
  <c r="D8" i="1"/>
  <c r="D7" i="1"/>
  <c r="D6" i="1"/>
  <c r="D12" i="1"/>
  <c r="D14" i="1"/>
  <c r="D19" i="1"/>
  <c r="D22" i="1"/>
  <c r="D24" i="1"/>
  <c r="D25" i="1"/>
  <c r="D27" i="1"/>
  <c r="D28" i="1"/>
  <c r="D29" i="1"/>
  <c r="D30" i="1"/>
  <c r="D32" i="1"/>
  <c r="D35" i="1"/>
  <c r="D36" i="1"/>
  <c r="D37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T8" i="1"/>
  <c r="T7" i="1"/>
  <c r="T9" i="1"/>
  <c r="T6" i="1"/>
  <c r="P7" i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" i="1"/>
  <c r="AE10" i="1" l="1"/>
  <c r="AE11" i="1"/>
  <c r="AE12" i="1"/>
  <c r="AE7" i="1"/>
  <c r="AE9" i="1"/>
  <c r="AE8" i="1"/>
  <c r="AE6" i="1"/>
  <c r="AD15" i="1"/>
  <c r="AD16" i="1" s="1"/>
  <c r="AD17" i="1" s="1"/>
  <c r="AE17" i="1" s="1"/>
  <c r="AE13" i="1"/>
</calcChain>
</file>

<file path=xl/sharedStrings.xml><?xml version="1.0" encoding="utf-8"?>
<sst xmlns="http://schemas.openxmlformats.org/spreadsheetml/2006/main" count="2515" uniqueCount="687">
  <si>
    <t>Affiliate</t>
  </si>
  <si>
    <t>Leader</t>
  </si>
  <si>
    <t>Candidates</t>
  </si>
  <si>
    <t>Total</t>
  </si>
  <si>
    <t>Gained [ac]</t>
  </si>
  <si>
    <t>Lost [ac]</t>
  </si>
  <si>
    <t>Net</t>
  </si>
  <si>
    <t>Oftotal(%)</t>
  </si>
  <si>
    <t>Labour</t>
  </si>
  <si>
    <t>Keir Starmer</t>
  </si>
  <si>
    <t>631[ad]</t>
  </si>
  <si>
    <t>411[ae]</t>
  </si>
  <si>
    <t>218[af]</t>
  </si>
  <si>
    <t>211[ag]</t>
  </si>
  <si>
    <t>63.2[ah]</t>
  </si>
  <si>
    <t>Conservative</t>
  </si>
  <si>
    <t>Rishi Sunak</t>
  </si>
  <si>
    <t>Reform</t>
  </si>
  <si>
    <t>Nigel Farage</t>
  </si>
  <si>
    <t>  5</t>
  </si>
  <si>
    <t>Liberal Democrats</t>
  </si>
  <si>
    <t>Ed Davey</t>
  </si>
  <si>
    <t> 64</t>
  </si>
  <si>
    <t>Green Party of England and Wales</t>
  </si>
  <si>
    <t>Carla Denyer &amp; Adrian Ramsay</t>
  </si>
  <si>
    <t>  3</t>
  </si>
  <si>
    <t>Scottish National Party</t>
  </si>
  <si>
    <t>John Swinney</t>
  </si>
  <si>
    <t> 39</t>
  </si>
  <si>
    <t>Independents</t>
  </si>
  <si>
    <t>—N/a</t>
  </si>
  <si>
    <t>  6</t>
  </si>
  <si>
    <t>Sinn Féin</t>
  </si>
  <si>
    <t>Mary Lou McDonald</t>
  </si>
  <si>
    <t>Workers Party</t>
  </si>
  <si>
    <t>George Galloway</t>
  </si>
  <si>
    <t>New</t>
  </si>
  <si>
    <t>Plaid Cymru</t>
  </si>
  <si>
    <t>Rhun ap Iorwerth</t>
  </si>
  <si>
    <t>  2</t>
  </si>
  <si>
    <t>Democratic Unionist</t>
  </si>
  <si>
    <t>Gavin Robinson</t>
  </si>
  <si>
    <t>Alliance</t>
  </si>
  <si>
    <t>Naomi Long</t>
  </si>
  <si>
    <t>Ulster Unionist</t>
  </si>
  <si>
    <t>Doug Beattie</t>
  </si>
  <si>
    <t>  1</t>
  </si>
  <si>
    <t>Scottish Greens</t>
  </si>
  <si>
    <t>Patrick Harvie &amp; Lorna Slater</t>
  </si>
  <si>
    <t>Social Democratic &amp; Labour</t>
  </si>
  <si>
    <t>Colum Eastwood</t>
  </si>
  <si>
    <t>Traditional Unionist Voice</t>
  </si>
  <si>
    <t>Jim Allister</t>
  </si>
  <si>
    <t>Did not stand in 2019</t>
  </si>
  <si>
    <t>Social Democratic Party</t>
  </si>
  <si>
    <t>William Clouston</t>
  </si>
  <si>
    <t>Speaker[al]</t>
  </si>
  <si>
    <t>Lindsay Hoyle</t>
  </si>
  <si>
    <t>Yorkshire Party</t>
  </si>
  <si>
    <t>Bob Buxton &amp; Simon Biltcliffe</t>
  </si>
  <si>
    <t>Independent Network</t>
  </si>
  <si>
    <t>Marianne Overton</t>
  </si>
  <si>
    <t>Trade Unionist &amp; Socialist</t>
  </si>
  <si>
    <t>Dave Nellist</t>
  </si>
  <si>
    <t>Alba</t>
  </si>
  <si>
    <t>Alex Salmond</t>
  </si>
  <si>
    <t>Rejoin EU</t>
  </si>
  <si>
    <t>Brendan Donnelly</t>
  </si>
  <si>
    <t>Green Party (NI)</t>
  </si>
  <si>
    <t>Mal O'Hara</t>
  </si>
  <si>
    <t>People Before Profit</t>
  </si>
  <si>
    <t>Collective leadership[am]</t>
  </si>
  <si>
    <t>Aontú</t>
  </si>
  <si>
    <t>Peadar Tóibín</t>
  </si>
  <si>
    <t>Newham Independents Party</t>
  </si>
  <si>
    <t>Mehmood Mirza</t>
  </si>
  <si>
    <t>Heritage Party</t>
  </si>
  <si>
    <t>David Kurten</t>
  </si>
  <si>
    <t>UK Independence Party</t>
  </si>
  <si>
    <t>Nick Tenconi (interim)</t>
  </si>
  <si>
    <t>Liberal Party</t>
  </si>
  <si>
    <t>Steve Radford</t>
  </si>
  <si>
    <t>Ashfield Independents</t>
  </si>
  <si>
    <t>Jason Zadrozny</t>
  </si>
  <si>
    <t>Monster Raving Loony</t>
  </si>
  <si>
    <t>Howling Laud Hope</t>
  </si>
  <si>
    <t>Christian Peoples Alliance</t>
  </si>
  <si>
    <t>Sidney Cordle</t>
  </si>
  <si>
    <t>Scottish Family</t>
  </si>
  <si>
    <t>Richard Lucas</t>
  </si>
  <si>
    <t>English Democrats</t>
  </si>
  <si>
    <t>Robin Tilbrook</t>
  </si>
  <si>
    <t>Party of Women</t>
  </si>
  <si>
    <t>Kellie-Jay Keen</t>
  </si>
  <si>
    <t>Lincolnshire Independents</t>
  </si>
  <si>
    <t>One Leicester</t>
  </si>
  <si>
    <t>Rita Patel</t>
  </si>
  <si>
    <t>Socialist Labour Party</t>
  </si>
  <si>
    <t>Jim McDaid</t>
  </si>
  <si>
    <t>Liverpool Community Independents</t>
  </si>
  <si>
    <t>Alan Gibbons</t>
  </si>
  <si>
    <t>Swale Independents</t>
  </si>
  <si>
    <t>Mike Baldock</t>
  </si>
  <si>
    <t>Hampshire Independents</t>
  </si>
  <si>
    <t>Alan Stone</t>
  </si>
  <si>
    <t>Communist Party of Britain</t>
  </si>
  <si>
    <t>Robert Griffiths</t>
  </si>
  <si>
    <t>Democracy for Chorley</t>
  </si>
  <si>
    <t>Ben Holden-Crowther</t>
  </si>
  <si>
    <t>Independent Oxford Alliance</t>
  </si>
  <si>
    <t>Anne Gwinett</t>
  </si>
  <si>
    <t>Climate Party</t>
  </si>
  <si>
    <t>Edmund Gemmell</t>
  </si>
  <si>
    <t>South Devon Alliance</t>
  </si>
  <si>
    <t>Richard Daws</t>
  </si>
  <si>
    <t>British Democratic Party</t>
  </si>
  <si>
    <t>James Lewthwaite</t>
  </si>
  <si>
    <t>True and Fair Party</t>
  </si>
  <si>
    <t>Gina Miller</t>
  </si>
  <si>
    <t>Alliance for Democracy and Freedom</t>
  </si>
  <si>
    <t>Teck Khong</t>
  </si>
  <si>
    <t>North East Party</t>
  </si>
  <si>
    <t>Brian Moore</t>
  </si>
  <si>
    <t>English Constitution Party</t>
  </si>
  <si>
    <t>Graham Moore</t>
  </si>
  <si>
    <t>Abolish the Welsh Assembly Party</t>
  </si>
  <si>
    <t>Richard Suchorzewski</t>
  </si>
  <si>
    <t>Animal Welfare Party</t>
  </si>
  <si>
    <t>Vanessa Hudson</t>
  </si>
  <si>
    <t>Left</t>
  </si>
  <si>
    <t>Right</t>
  </si>
  <si>
    <t>Centre</t>
  </si>
  <si>
    <t>OTHER</t>
  </si>
  <si>
    <t>total</t>
  </si>
  <si>
    <t>Overall</t>
  </si>
  <si>
    <t>clean</t>
  </si>
  <si>
    <t>For each election period, identify the available parties in the polls</t>
  </si>
  <si>
    <t>Ref_UKIP</t>
  </si>
  <si>
    <t>Con</t>
  </si>
  <si>
    <t>LD</t>
  </si>
  <si>
    <t>Lab</t>
  </si>
  <si>
    <t>Grn</t>
  </si>
  <si>
    <t>SNP</t>
  </si>
  <si>
    <t>PC</t>
  </si>
  <si>
    <t>latest</t>
  </si>
  <si>
    <t>date</t>
  </si>
  <si>
    <t>GE_year</t>
  </si>
  <si>
    <t>NI</t>
  </si>
  <si>
    <t>Other Right</t>
  </si>
  <si>
    <t>Other Left</t>
  </si>
  <si>
    <t>not NI</t>
  </si>
  <si>
    <t>Votes</t>
  </si>
  <si>
    <t>Political party</t>
  </si>
  <si>
    <t>MPs[319]</t>
  </si>
  <si>
    <t>Gained</t>
  </si>
  <si>
    <t>Lost</t>
  </si>
  <si>
    <t>Of total(%)</t>
  </si>
  <si>
    <t>Change(%)</t>
  </si>
  <si>
    <t>Boris Johnson</t>
  </si>
  <si>
    <t>Jeremy Corbyn</t>
  </si>
  <si>
    <t>631[a]</t>
  </si>
  <si>
    <t>202[b]</t>
  </si>
  <si>
    <t>61[c]</t>
  </si>
  <si>
    <t>60[d]</t>
  </si>
  <si>
    <t>31.1[e]</t>
  </si>
  <si>
    <t>32.08[g]</t>
  </si>
  <si>
    <t>−7.9[h]</t>
  </si>
  <si>
    <t>Jo Swinson</t>
  </si>
  <si>
    <t>Nicola Sturgeon</t>
  </si>
  <si>
    <t>Siân Berry and Jonathan Bartley</t>
  </si>
  <si>
    <t>Brexit Party</t>
  </si>
  <si>
    <t>DUP</t>
  </si>
  <si>
    <t>Arlene Foster</t>
  </si>
  <si>
    <t>−0.1</t>
  </si>
  <si>
    <t>−0.2</t>
  </si>
  <si>
    <t>Adam Price</t>
  </si>
  <si>
    <t>SDLP</t>
  </si>
  <si>
    <t>UUP</t>
  </si>
  <si>
    <t>Steve Aiken</t>
  </si>
  <si>
    <t>Yorkshire</t>
  </si>
  <si>
    <t>Christopher Whitwood</t>
  </si>
  <si>
    <t>Speaker</t>
  </si>
  <si>
    <t>UKIP</t>
  </si>
  <si>
    <t>Patricia Mountain (interim)</t>
  </si>
  <si>
    <t>−1.8</t>
  </si>
  <si>
    <t>Ashfield Ind.</t>
  </si>
  <si>
    <t>Liberal</t>
  </si>
  <si>
    <t>The Independent Group for Change</t>
  </si>
  <si>
    <t>Anna Soubry</t>
  </si>
  <si>
    <t>Collective</t>
  </si>
  <si>
    <t>Birkenhead Social Justice</t>
  </si>
  <si>
    <t>Frank Field</t>
  </si>
  <si>
    <t>CPA</t>
  </si>
  <si>
    <t>Heavy Woollen Independents</t>
  </si>
  <si>
    <t>Aleksandar Lukic</t>
  </si>
  <si>
    <t>SDP</t>
  </si>
  <si>
    <t>Animal Welfare</t>
  </si>
  <si>
    <t>North East</t>
  </si>
  <si>
    <t>Mark Burdon</t>
  </si>
  <si>
    <t>Lincolnshire Independent</t>
  </si>
  <si>
    <t>Green Party Northern Ireland</t>
  </si>
  <si>
    <t>Clare Bailey</t>
  </si>
  <si>
    <t>English Democrat</t>
  </si>
  <si>
    <t>Libertarian</t>
  </si>
  <si>
    <t>Adam Brown</t>
  </si>
  <si>
    <t>Mebyon Kernow</t>
  </si>
  <si>
    <t>Dick Cole</t>
  </si>
  <si>
    <t>Proud of Oldham and Saddleworth</t>
  </si>
  <si>
    <t>Paul Errock</t>
  </si>
  <si>
    <t>Ian Stephens</t>
  </si>
  <si>
    <t>Gwlad</t>
  </si>
  <si>
    <t>Gwyn Wigley Evans</t>
  </si>
  <si>
    <t>Cynon Valley</t>
  </si>
  <si>
    <t>Andrew Chainey</t>
  </si>
  <si>
    <t>VPP</t>
  </si>
  <si>
    <t>Robin Horsfall</t>
  </si>
  <si>
    <t>Burnley and Padiham Party</t>
  </si>
  <si>
    <t>Mark Payne</t>
  </si>
  <si>
    <t>Shropshire Party</t>
  </si>
  <si>
    <t>Robert Jones</t>
  </si>
  <si>
    <t>Putting Cumbria  First</t>
  </si>
  <si>
    <t>Jonathan Davies</t>
  </si>
  <si>
    <t>Peace</t>
  </si>
  <si>
    <t>John Morris</t>
  </si>
  <si>
    <t>Wycombe Independents</t>
  </si>
  <si>
    <t>Matt Knight</t>
  </si>
  <si>
    <t>JAC</t>
  </si>
  <si>
    <t>Donald Jerrard</t>
  </si>
  <si>
    <t>Christian</t>
  </si>
  <si>
    <t>Jeff Green</t>
  </si>
  <si>
    <t>Renew</t>
  </si>
  <si>
    <t>Julie Girling</t>
  </si>
  <si>
    <t>Workers Revolutionary</t>
  </si>
  <si>
    <t>Joshua Ogunleye</t>
  </si>
  <si>
    <t>BNP</t>
  </si>
  <si>
    <t>Adam Walker</t>
  </si>
  <si>
    <t>Parties with fewer than 500 votes each</t>
  </si>
  <si>
    <t>Independent (non-party) candidates</t>
  </si>
  <si>
    <t>Reform_UKIP</t>
  </si>
  <si>
    <t>%</t>
  </si>
  <si>
    <t>NA</t>
  </si>
  <si>
    <t>Candidates[427]</t>
  </si>
  <si>
    <t>Of total (%)</t>
  </si>
  <si>
    <t>Change (%)</t>
  </si>
  <si>
    <t>Conservative[428]</t>
  </si>
  <si>
    <t>Theresa May</t>
  </si>
  <si>
    <t>−13</t>
  </si>
  <si>
    <t>262[b]</t>
  </si>
  <si>
    <t>36[c]</t>
  </si>
  <si>
    <t>+30[d]</t>
  </si>
  <si>
    <t>40.3[e]</t>
  </si>
  <si>
    <t>40.0[g]</t>
  </si>
  <si>
    <t>+9.6[h]</t>
  </si>
  <si>
    <t>Tim Farron</t>
  </si>
  <si>
    <t>−0.5</t>
  </si>
  <si>
    <t>−21</t>
  </si>
  <si>
    <t>−1.7</t>
  </si>
  <si>
    <t>Paul Nuttall</t>
  </si>
  <si>
    <t>−1</t>
  </si>
  <si>
    <t>−10.8</t>
  </si>
  <si>
    <t>Caroline Lucas and Jonathan Bartley</t>
  </si>
  <si>
    <t>−2.0</t>
  </si>
  <si>
    <t>Gerry Adams</t>
  </si>
  <si>
    <t>Leanne Wood</t>
  </si>
  <si>
    <t>Independent</t>
  </si>
  <si>
    <t>−3</t>
  </si>
  <si>
    <t>Robin Swann</t>
  </si>
  <si>
    <t>−2</t>
  </si>
  <si>
    <t>John Bercow</t>
  </si>
  <si>
    <t>Stewart Arnold</t>
  </si>
  <si>
    <t>NHA</t>
  </si>
  <si>
    <t>Alex Ashman</t>
  </si>
  <si>
    <t>Steven Agnew</t>
  </si>
  <si>
    <t>Scottish Green Party</t>
  </si>
  <si>
    <t>Patrick Harvie and Maggie Chapman</t>
  </si>
  <si>
    <t>Eamonn McCann</t>
  </si>
  <si>
    <t>Alan Hope</t>
  </si>
  <si>
    <t>Women's Equality</t>
  </si>
  <si>
    <t>Sophie Walker</t>
  </si>
  <si>
    <t>TUV</t>
  </si>
  <si>
    <t>Mary Cartwright</t>
  </si>
  <si>
    <t>Pirate</t>
  </si>
  <si>
    <t>David A Elston</t>
  </si>
  <si>
    <t>Independent Save Withybush Save Lives</t>
  </si>
  <si>
    <t>Socialist Labour</t>
  </si>
  <si>
    <t>Arthur Scargill</t>
  </si>
  <si>
    <t>Southampton Independents</t>
  </si>
  <si>
    <t>Sheila Torrance</t>
  </si>
  <si>
    <t>Workers' Party</t>
  </si>
  <si>
    <t>Something New</t>
  </si>
  <si>
    <t>Demos Direct Initiative Party</t>
  </si>
  <si>
    <t>Peter Johnson</t>
  </si>
  <si>
    <t>Friends Party</t>
  </si>
  <si>
    <t>Better for Bradford</t>
  </si>
  <si>
    <t>All other parties</t>
  </si>
  <si>
    <t>Candidates[199]</t>
  </si>
  <si>
    <t>Change[b] (%)</t>
  </si>
  <si>
    <t>Conservative[c]</t>
  </si>
  <si>
    <t>David Cameron</t>
  </si>
  <si>
    <t>Ed Miliband</t>
  </si>
  <si>
    <t>631[d]</t>
  </si>
  <si>
    <t>232[e]</t>
  </si>
  <si>
    <t>22[f]</t>
  </si>
  <si>
    <t>48[g]</t>
  </si>
  <si>
    <t>−26[h]</t>
  </si>
  <si>
    <t>35.7[i]</t>
  </si>
  <si>
    <t>30.4[k]</t>
  </si>
  <si>
    <t>+1.5[l]</t>
  </si>
  <si>
    <t>Nick Clegg</t>
  </si>
  <si>
    <t>−49</t>
  </si>
  <si>
    <t>−15.1</t>
  </si>
  <si>
    <t>Natalie Bennett</t>
  </si>
  <si>
    <t>Peter Robinson</t>
  </si>
  <si>
    <t>Mike Nesbitt</t>
  </si>
  <si>
    <t>—N/a[m]</t>
  </si>
  <si>
    <t>Alasdair McDonnell</t>
  </si>
  <si>
    <t>David Ford</t>
  </si>
  <si>
    <t>Scottish Green</t>
  </si>
  <si>
    <t>Patrick Harvie / Maggie Chapman</t>
  </si>
  <si>
    <t>TUSC</t>
  </si>
  <si>
    <t>NHA[n]</t>
  </si>
  <si>
    <t>Richard Taylor &amp; Clive Peedell</t>
  </si>
  <si>
    <t>Respect</t>
  </si>
  <si>
    <t>CISTA</t>
  </si>
  <si>
    <t>Paul Birch</t>
  </si>
  <si>
    <t>Green (NI)</t>
  </si>
  <si>
    <t>Yorkshire First</t>
  </si>
  <si>
    <t>Richard Carter</t>
  </si>
  <si>
    <t>Alan "Howling Laud" Hope</t>
  </si>
  <si>
    <t>Chris Overton</t>
  </si>
  <si>
    <t>Christian[o]</t>
  </si>
  <si>
    <t>No description[p]</t>
  </si>
  <si>
    <t>John Lowry</t>
  </si>
  <si>
    <t>Hilton Dawson</t>
  </si>
  <si>
    <t>Poole People</t>
  </si>
  <si>
    <t>Mike Howell</t>
  </si>
  <si>
    <t>−1.9</t>
  </si>
  <si>
    <t>Residents for Uttlesford</t>
  </si>
  <si>
    <t>John Lodge</t>
  </si>
  <si>
    <t>Rochdale First Party</t>
  </si>
  <si>
    <t>Farooq Ahmed</t>
  </si>
  <si>
    <t>Communist[q]</t>
  </si>
  <si>
    <t>Robert David Griffiths</t>
  </si>
  <si>
    <t>Laurence Kaye</t>
  </si>
  <si>
    <t>National Front</t>
  </si>
  <si>
    <t>Kevin Bryan</t>
  </si>
  <si>
    <t>Communities United</t>
  </si>
  <si>
    <t>Kamran Malik</t>
  </si>
  <si>
    <t>Reality</t>
  </si>
  <si>
    <t>Mark "Bez" Berry</t>
  </si>
  <si>
    <t>The Southport Party</t>
  </si>
  <si>
    <t>David Cobham</t>
  </si>
  <si>
    <t>All People's Party</t>
  </si>
  <si>
    <t>Prem Goyal</t>
  </si>
  <si>
    <t>Bournemouth Independent Alliance</t>
  </si>
  <si>
    <t>David Ross</t>
  </si>
  <si>
    <t>Socialist (GB)</t>
  </si>
  <si>
    <t>Scottish Socialist</t>
  </si>
  <si>
    <t>Executive Committee</t>
  </si>
  <si>
    <t>Alliance for Green Socialism</t>
  </si>
  <si>
    <t>Mike Davies</t>
  </si>
  <si>
    <t>Your Vote Could Save Our Hospital</t>
  </si>
  <si>
    <t>Sandra Allison</t>
  </si>
  <si>
    <t>Wigan Independents</t>
  </si>
  <si>
    <t>Gareth Fairhurst</t>
  </si>
  <si>
    <t>James Smith</t>
  </si>
  <si>
    <t>Consensus</t>
  </si>
  <si>
    <t>Helen Tyrer</t>
  </si>
  <si>
    <t>National Liberal</t>
  </si>
  <si>
    <t>National Council</t>
  </si>
  <si>
    <t>Independents Against Social Injustice</t>
  </si>
  <si>
    <t>Steve Walmsley</t>
  </si>
  <si>
    <t>Independence from Europe</t>
  </si>
  <si>
    <t>Mike Nattrass</t>
  </si>
  <si>
    <t>Whig</t>
  </si>
  <si>
    <t>Waleed Ghani</t>
  </si>
  <si>
    <t>Guildford Greenbelt Group</t>
  </si>
  <si>
    <t>Susan Parker</t>
  </si>
  <si>
    <t>Class War</t>
  </si>
  <si>
    <t>Ian Bone</t>
  </si>
  <si>
    <t>Above and Beyond</t>
  </si>
  <si>
    <t>Mark Flanagan</t>
  </si>
  <si>
    <t>Northern</t>
  </si>
  <si>
    <t>Mark Dawson</t>
  </si>
  <si>
    <t>Left Unity</t>
  </si>
  <si>
    <t>Kate Hudson</t>
  </si>
  <si>
    <t>Liberty GB</t>
  </si>
  <si>
    <t>Paul Weston</t>
  </si>
  <si>
    <t>People First</t>
  </si>
  <si>
    <t>Other parties[r]</t>
  </si>
  <si>
    <t>Nominated</t>
  </si>
  <si>
    <t>Elected</t>
  </si>
  <si>
    <t>Count</t>
  </si>
  <si>
    <t>Proportion of total (%)</t>
  </si>
  <si>
    <t>Change in proportion (%)</t>
  </si>
  <si>
    <t>Conservative[a]</t>
  </si>
  <si>
    <t>Gordon Brown</t>
  </si>
  <si>
    <t>631[b]</t>
  </si>
  <si>
    <t>258[c]</t>
  </si>
  <si>
    <t>39.7[d]</t>
  </si>
  <si>
    <t>−91[e]</t>
  </si>
  <si>
    <t>29.0[g]</t>
  </si>
  <si>
    <t>−6.2[h]</t>
  </si>
  <si>
    <t>−5</t>
  </si>
  <si>
    <t>Lord Pearson</t>
  </si>
  <si>
    <t>Nick Griffin</t>
  </si>
  <si>
    <t>Green</t>
  </si>
  <si>
    <t>Caroline Lucas</t>
  </si>
  <si>
    <t>−0.3</t>
  </si>
  <si>
    <t>Ieuan Wyn Jones</t>
  </si>
  <si>
    <t>Margaret Ritchie</t>
  </si>
  <si>
    <t>UCU-NF</t>
  </si>
  <si>
    <t>Reg Empey</t>
  </si>
  <si>
    <t>Salma Yaqoob</t>
  </si>
  <si>
    <t>Independent – Rodney Connor</t>
  </si>
  <si>
    <t>Independent – Sylvia Hermon</t>
  </si>
  <si>
    <t>George Hargreaves</t>
  </si>
  <si>
    <t>Eleanor Scott and Patrick Harvie</t>
  </si>
  <si>
    <t>Health Concern</t>
  </si>
  <si>
    <t>Richard Taylor</t>
  </si>
  <si>
    <t>Independent – Bob Spink</t>
  </si>
  <si>
    <t>Ian Edward</t>
  </si>
  <si>
    <t>Buckinghamshire Campaign for Democracy</t>
  </si>
  <si>
    <t>John Stevens</t>
  </si>
  <si>
    <t>Rob Wheway</t>
  </si>
  <si>
    <t>Blaenau Gwent PV</t>
  </si>
  <si>
    <t>Dai Davies</t>
  </si>
  <si>
    <t>Alan Craig</t>
  </si>
  <si>
    <t>Mansfield Independent Forum</t>
  </si>
  <si>
    <t>Mark Bailey and Karly Greene</t>
  </si>
  <si>
    <t>Socialist</t>
  </si>
  <si>
    <t>Peter Taaffe</t>
  </si>
  <si>
    <t>Trust</t>
  </si>
  <si>
    <t>Stuart Wheeler</t>
  </si>
  <si>
    <t>Colin Fox and Frances Curran</t>
  </si>
  <si>
    <t>Local Liberals People Before Politics</t>
  </si>
  <si>
    <t>Independent – Esther Rantzen</t>
  </si>
  <si>
    <t>Andrew Robinson</t>
  </si>
  <si>
    <t>Common Sense Party</t>
  </si>
  <si>
    <t>Howard Thomas</t>
  </si>
  <si>
    <t>Staffordshire Independent Group</t>
  </si>
  <si>
    <t>Tendring First</t>
  </si>
  <si>
    <t>Terry Allen</t>
  </si>
  <si>
    <t>Solihull and Meriden Residents Association</t>
  </si>
  <si>
    <t>Communist</t>
  </si>
  <si>
    <t>Democratic Labour</t>
  </si>
  <si>
    <t>Brian Powell</t>
  </si>
  <si>
    <t>English Independence Party</t>
  </si>
  <si>
    <t>Democratic Nationalist Party</t>
  </si>
  <si>
    <t>Save King George Hospital</t>
  </si>
  <si>
    <t>Animal Protection</t>
  </si>
  <si>
    <t>Christian Movement for Great Britain</t>
  </si>
  <si>
    <t>New Millennium Bean Party</t>
  </si>
  <si>
    <t>Captain Beany</t>
  </si>
  <si>
    <t>Seats gained</t>
  </si>
  <si>
    <t>Seats lost</t>
  </si>
  <si>
    <t>Net changein seats</t>
  </si>
  <si>
    <t>% of seats</t>
  </si>
  <si>
    <t>Number of votes</t>
  </si>
  <si>
    <t>% of votes</t>
  </si>
  <si>
    <t>Change in %of vote</t>
  </si>
  <si>
    <t>Votes perseat won</t>
  </si>
  <si>
    <t>Tony Blair</t>
  </si>
  <si>
    <t>627[a]</t>
  </si>
  <si>
    <t>355[b]</t>
  </si>
  <si>
    <t>–47[c]</t>
  </si>
  <si>
    <t>55.2[d]</t>
  </si>
  <si>
    <t>35.2[f]</t>
  </si>
  <si>
    <t>–5.5[g]</t>
  </si>
  <si>
    <t>26,908[h]</t>
  </si>
  <si>
    <t>Michael Howard</t>
  </si>
  <si>
    <t>Charles Kennedy</t>
  </si>
  <si>
    <t>Roger Knapman</t>
  </si>
  <si>
    <t>N/A</t>
  </si>
  <si>
    <t>–0.2</t>
  </si>
  <si>
    <t>Caroline Lucas and Keith Taylor</t>
  </si>
  <si>
    <t>Ian Paisley</t>
  </si>
  <si>
    <t>–1</t>
  </si>
  <si>
    <t>–0.1</t>
  </si>
  <si>
    <t>David Trimble</t>
  </si>
  <si>
    <t>–5</t>
  </si>
  <si>
    <t>–0.3</t>
  </si>
  <si>
    <t>Mark Durkan</t>
  </si>
  <si>
    <t>Linda Smith</t>
  </si>
  <si>
    <t>Colin Fox</t>
  </si>
  <si>
    <t>Veritas</t>
  </si>
  <si>
    <t>Robert Kilroy-Silk</t>
  </si>
  <si>
    <t>Shiona Baird and Robin Harper</t>
  </si>
  <si>
    <t>Michael Meadowcroft</t>
  </si>
  <si>
    <t>Tom Holmes</t>
  </si>
  <si>
    <t>Legalise Cannabis</t>
  </si>
  <si>
    <t>Alun Buffry</t>
  </si>
  <si>
    <t>Community Action</t>
  </si>
  <si>
    <t>Peter Franzen</t>
  </si>
  <si>
    <t>Christian Vote</t>
  </si>
  <si>
    <t>Forward Wales</t>
  </si>
  <si>
    <t>John Marek</t>
  </si>
  <si>
    <t>Rainbow Dream Ticket</t>
  </si>
  <si>
    <t>Rainbow George Weiss</t>
  </si>
  <si>
    <t>Community Group</t>
  </si>
  <si>
    <t>Martin Williams</t>
  </si>
  <si>
    <t>Roy Adkins</t>
  </si>
  <si>
    <t>Residents Association of London</t>
  </si>
  <si>
    <t>Malvin Brown</t>
  </si>
  <si>
    <t>Seán Garland</t>
  </si>
  <si>
    <t>Socialist Environmental</t>
  </si>
  <si>
    <t>Goretti Horgan</t>
  </si>
  <si>
    <t>Scottish Unionist</t>
  </si>
  <si>
    <t>Daniel Houston</t>
  </si>
  <si>
    <t>New England</t>
  </si>
  <si>
    <t>Michael Tibby</t>
  </si>
  <si>
    <t>Peace and Progress</t>
  </si>
  <si>
    <t>Chris Cooper</t>
  </si>
  <si>
    <t>Scottish Senior Citizens</t>
  </si>
  <si>
    <t>John Swinburne</t>
  </si>
  <si>
    <t>Your Party</t>
  </si>
  <si>
    <t>Daniel Thompson</t>
  </si>
  <si>
    <t>SOS! Northampton</t>
  </si>
  <si>
    <t>Yvonne Dale</t>
  </si>
  <si>
    <t>Ind. Working Class</t>
  </si>
  <si>
    <t>None</t>
  </si>
  <si>
    <t>British Public Party</t>
  </si>
  <si>
    <t>Kashif Rana</t>
  </si>
  <si>
    <t>Free Scotland Party</t>
  </si>
  <si>
    <t>Brian Nugent</t>
  </si>
  <si>
    <t>Pensioners Party Scotland</t>
  </si>
  <si>
    <t>George Rodger</t>
  </si>
  <si>
    <t>Publican Party</t>
  </si>
  <si>
    <t>Kit Fraser and Don Lawson</t>
  </si>
  <si>
    <t>Andrew Constantine</t>
  </si>
  <si>
    <t>Socialist Unity</t>
  </si>
  <si>
    <t>Local Community Party</t>
  </si>
  <si>
    <t>Jack Crossfield</t>
  </si>
  <si>
    <t>Clause 28</t>
  </si>
  <si>
    <t>David Braid</t>
  </si>
  <si>
    <t>UK Community Issues Party</t>
  </si>
  <si>
    <t>Michael Osman</t>
  </si>
  <si>
    <t>stage</t>
  </si>
  <si>
    <t>start</t>
  </si>
  <si>
    <t>end</t>
  </si>
  <si>
    <t>Party</t>
  </si>
  <si>
    <t>Stood</t>
  </si>
  <si>
    <t>Unseated</t>
  </si>
  <si>
    <t>% of total</t>
  </si>
  <si>
    <t>No.</t>
  </si>
  <si>
    <t>Net %</t>
  </si>
  <si>
    <t>640[b]</t>
  </si>
  <si>
    <t>412[c]</t>
  </si>
  <si>
    <t>−6[d]</t>
  </si>
  <si>
    <t>62.5[e]</t>
  </si>
  <si>
    <t>40.7[f]</t>
  </si>
  <si>
    <t>−2.5[h]</t>
  </si>
  <si>
    <t>William Hague</t>
  </si>
  <si>
    <t>Jeffrey Titford</t>
  </si>
  <si>
    <t>−4</t>
  </si>
  <si>
    <t>John Hume</t>
  </si>
  <si>
    <t>Margaret Wright and Mike Woodin</t>
  </si>
  <si>
    <t>Tommy Sheridan</t>
  </si>
  <si>
    <t>Socialist Alliance</t>
  </si>
  <si>
    <t>Seán Neeson</t>
  </si>
  <si>
    <t>UK Unionist</t>
  </si>
  <si>
    <t>Robert McCartney</t>
  </si>
  <si>
    <t>ProLife Alliance</t>
  </si>
  <si>
    <t>Bruno Quintavalle</t>
  </si>
  <si>
    <t>People's Justice</t>
  </si>
  <si>
    <t>Shaukat Ali Khan</t>
  </si>
  <si>
    <t>Howling Laud Hope and Catmando</t>
  </si>
  <si>
    <t>PUP</t>
  </si>
  <si>
    <t>Hugh Smyth</t>
  </si>
  <si>
    <t>NI Women's Coalition</t>
  </si>
  <si>
    <t>Monica McWilliams and Pearl Sagar</t>
  </si>
  <si>
    <t>Danny Houston</t>
  </si>
  <si>
    <t>Rock 'n' Roll Loony</t>
  </si>
  <si>
    <t>Chris Driver</t>
  </si>
  <si>
    <t>Neath Port Talbot Ratepayers</t>
  </si>
  <si>
    <t>Paul Evans</t>
  </si>
  <si>
    <t>NI Unionist</t>
  </si>
  <si>
    <t>Cedric Wilson</t>
  </si>
  <si>
    <t>Reform 2000</t>
  </si>
  <si>
    <t>Erol Basarik</t>
  </si>
  <si>
    <t>Isle of Wight</t>
  </si>
  <si>
    <t>Philip Murray</t>
  </si>
  <si>
    <t>Muslim</t>
  </si>
  <si>
    <t>New Britain</t>
  </si>
  <si>
    <t>Dennis Delderfield</t>
  </si>
  <si>
    <t>Free Party</t>
  </si>
  <si>
    <t>Bob Dobbs</t>
  </si>
  <si>
    <t>Leeds Left Alliance</t>
  </si>
  <si>
    <t>Tatton</t>
  </si>
  <si>
    <t>Paul Williams</t>
  </si>
  <si>
    <t>639[c]</t>
  </si>
  <si>
    <t>418[d]</t>
  </si>
  <si>
    <t>+145[e]</t>
  </si>
  <si>
    <t>63.4[f]</t>
  </si>
  <si>
    <t>43.2[g]</t>
  </si>
  <si>
    <t>+8.8[i]</t>
  </si>
  <si>
    <t>John Major</t>
  </si>
  <si>
    <t>–178</t>
  </si>
  <si>
    <t>–11.2</t>
  </si>
  <si>
    <t>Paddy Ashdown</t>
  </si>
  <si>
    <t>–1.0</t>
  </si>
  <si>
    <t>Referendum</t>
  </si>
  <si>
    <t>James Goldsmith</t>
  </si>
  <si>
    <t>Dafydd Wigley</t>
  </si>
  <si>
    <t>Alan Sked</t>
  </si>
  <si>
    <t>John Alderdice</t>
  </si>
  <si>
    <t>Peg Alexander and David Taylor</t>
  </si>
  <si>
    <t>John Tyndall</t>
  </si>
  <si>
    <t>Natural Law</t>
  </si>
  <si>
    <t>Geoffrey Clements</t>
  </si>
  <si>
    <t>Betty Boothroyd</t>
  </si>
  <si>
    <t>National Democrats</t>
  </si>
  <si>
    <t>Ian Anderson</t>
  </si>
  <si>
    <t>– 0.1</t>
  </si>
  <si>
    <t>Ind. Conservative</t>
  </si>
  <si>
    <t>Screaming Lord Sutch</t>
  </si>
  <si>
    <t>Make Politicians History</t>
  </si>
  <si>
    <t>Tom French</t>
  </si>
  <si>
    <t>John McAuley</t>
  </si>
  <si>
    <t>Cannabis Law Reform</t>
  </si>
  <si>
    <t>Howard Marks</t>
  </si>
  <si>
    <t>Socialist People's Party</t>
  </si>
  <si>
    <t>Jim Hamezian</t>
  </si>
  <si>
    <t>Loveday Jenkin</t>
  </si>
  <si>
    <t>Robin Harper</t>
  </si>
  <si>
    <t>Conservative Anti-Euro</t>
  </si>
  <si>
    <t>Christopher Story</t>
  </si>
  <si>
    <t>Community Representative</t>
  </si>
  <si>
    <t>Ralph Knight</t>
  </si>
  <si>
    <t>Neighborhood association</t>
  </si>
  <si>
    <t>John Bates</t>
  </si>
  <si>
    <t>Real Labour</t>
  </si>
  <si>
    <t>Independent Democrat</t>
  </si>
  <si>
    <t>Mike Hicks</t>
  </si>
  <si>
    <t>Socialist Equality</t>
  </si>
  <si>
    <t>Davy Hyland</t>
  </si>
  <si>
    <t>−41</t>
  </si>
  <si>
    <t>Neil Kinnock</t>
  </si>
  <si>
    <t>634[b]</t>
  </si>
  <si>
    <t>271[c]</t>
  </si>
  <si>
    <t>+42[d]</t>
  </si>
  <si>
    <t>41.62[e]</t>
  </si>
  <si>
    <t>34.4[f]</t>
  </si>
  <si>
    <t>+3.6[h]</t>
  </si>
  <si>
    <t>−4.8</t>
  </si>
  <si>
    <t>James Molyneaux</t>
  </si>
  <si>
    <t>Jean Lambert and Richard Lawson</t>
  </si>
  <si>
    <t>Ind. Social Democrat</t>
  </si>
  <si>
    <t>UPUP</t>
  </si>
  <si>
    <t>James Kilfedder</t>
  </si>
  <si>
    <t>Scottish Militant Labour</t>
  </si>
  <si>
    <t>True Labour</t>
  </si>
  <si>
    <t>Sydney Bidwell</t>
  </si>
  <si>
    <t>Anti-Federalist</t>
  </si>
  <si>
    <t>Marian Donnelly</t>
  </si>
  <si>
    <t>Official Conservative Hove Party</t>
  </si>
  <si>
    <t>Nigel Furness</t>
  </si>
  <si>
    <t>Loony Green</t>
  </si>
  <si>
    <t>Stuart Hughes</t>
  </si>
  <si>
    <t>Ind. Unionist</t>
  </si>
  <si>
    <t>New Agenda</t>
  </si>
  <si>
    <t>Proinsias De Rossa</t>
  </si>
  <si>
    <t>Independent Progressive Socialist</t>
  </si>
  <si>
    <t>Islamic Party</t>
  </si>
  <si>
    <t>David Pidcock</t>
  </si>
  <si>
    <t>Revolutionary Communist</t>
  </si>
  <si>
    <t>Frank Furedi</t>
  </si>
  <si>
    <t>Independent Nationalist</t>
  </si>
  <si>
    <t>Communist (PCC)</t>
  </si>
  <si>
    <t>Jack Conrad</t>
  </si>
  <si>
    <t>election</t>
  </si>
  <si>
    <t>con_votes</t>
  </si>
  <si>
    <t>lab_votes</t>
  </si>
  <si>
    <t>natSW_votes</t>
  </si>
  <si>
    <t>lib_votes</t>
  </si>
  <si>
    <t>oth_votes</t>
  </si>
  <si>
    <t>total_votes</t>
  </si>
  <si>
    <t>But this data groups others</t>
  </si>
  <si>
    <t>From csv file "1918-2019election_results.csv"</t>
  </si>
  <si>
    <t>…need to split into left and right</t>
  </si>
  <si>
    <t>1974F</t>
  </si>
  <si>
    <t>1974O</t>
  </si>
  <si>
    <t>From "1918-2019election_results_by_pcon.xlsx"</t>
  </si>
  <si>
    <t>Green Party</t>
  </si>
  <si>
    <t>Other Unknown</t>
  </si>
  <si>
    <t>manual extract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</si>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</sst>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3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15" fontId="0" fillId="0" borderId="0" xfId="0" applyNumberFormat="1"/>
    <xf numFmtId="14" fontId="0" fillId="0" borderId="0" xfId="0" applyNumberFormat="1"/>
    <xf numFmtId="164" fontId="0" fillId="0" borderId="0" xfId="1" applyNumberFormat="1" applyFont="1"/>
    <xf numFmtId="0" fontId="0" fillId="3" borderId="0" xfId="0" applyFill="1"/>
    <xf numFmtId="9" fontId="0" fillId="0" borderId="0" xfId="2" applyFont="1"/>
    <xf numFmtId="164" fontId="0" fillId="0" borderId="0" xfId="0" applyNumberFormat="1"/>
    <xf numFmtId="165" fontId="0" fillId="0" borderId="0" xfId="2" applyNumberFormat="1" applyFont="1"/>
    <xf numFmtId="0" fontId="0" fillId="4" borderId="0" xfId="0" applyFill="1"/>
    <xf numFmtId="164" fontId="0" fillId="4" borderId="0" xfId="1" applyNumberFormat="1" applyFont="1" applyFill="1"/>
    <xf numFmtId="164" fontId="0" fillId="2" borderId="0" xfId="1" applyNumberFormat="1" applyFont="1" applyFill="1"/>
    <xf numFmtId="0" fontId="2" fillId="0" borderId="0" xfId="0" applyFont="1"/>
    <xf numFmtId="165" fontId="0" fillId="4" borderId="0" xfId="2" applyNumberFormat="1" applyFont="1" applyFill="1"/>
    <xf numFmtId="165" fontId="0" fillId="0" borderId="0" xfId="0" applyNumberFormat="1"/>
    <xf numFmtId="0" fontId="0" fillId="5" borderId="0" xfId="0" applyFill="1"/>
    <xf numFmtId="165" fontId="0" fillId="5" borderId="0" xfId="2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historic_combined!$Q$3</c:f>
              <c:strCache>
                <c:ptCount val="1"/>
                <c:pt idx="0">
                  <c:v>Other Right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strRef>
              <c:f>historic_combined!$P$4:$P$32</c:f>
              <c:strCache>
                <c:ptCount val="29"/>
                <c:pt idx="0">
                  <c:v>1918</c:v>
                </c:pt>
                <c:pt idx="1">
                  <c:v>1922</c:v>
                </c:pt>
                <c:pt idx="2">
                  <c:v>1923</c:v>
                </c:pt>
                <c:pt idx="3">
                  <c:v>1924</c:v>
                </c:pt>
                <c:pt idx="4">
                  <c:v>1929</c:v>
                </c:pt>
                <c:pt idx="5">
                  <c:v>1931</c:v>
                </c:pt>
                <c:pt idx="6">
                  <c:v>1935</c:v>
                </c:pt>
                <c:pt idx="7">
                  <c:v>1945</c:v>
                </c:pt>
                <c:pt idx="8">
                  <c:v>1950</c:v>
                </c:pt>
                <c:pt idx="9">
                  <c:v>1951</c:v>
                </c:pt>
                <c:pt idx="10">
                  <c:v>1955</c:v>
                </c:pt>
                <c:pt idx="11">
                  <c:v>1959</c:v>
                </c:pt>
                <c:pt idx="12">
                  <c:v>1964</c:v>
                </c:pt>
                <c:pt idx="13">
                  <c:v>1966</c:v>
                </c:pt>
                <c:pt idx="14">
                  <c:v>1970</c:v>
                </c:pt>
                <c:pt idx="15">
                  <c:v>1974F</c:v>
                </c:pt>
                <c:pt idx="16">
                  <c:v>1974O</c:v>
                </c:pt>
                <c:pt idx="17">
                  <c:v>1979</c:v>
                </c:pt>
                <c:pt idx="18">
                  <c:v>1983</c:v>
                </c:pt>
                <c:pt idx="19">
                  <c:v>1987</c:v>
                </c:pt>
                <c:pt idx="20">
                  <c:v>1992</c:v>
                </c:pt>
                <c:pt idx="21">
                  <c:v>1997</c:v>
                </c:pt>
                <c:pt idx="22">
                  <c:v>2001</c:v>
                </c:pt>
                <c:pt idx="23">
                  <c:v>2005</c:v>
                </c:pt>
                <c:pt idx="24">
                  <c:v>2010</c:v>
                </c:pt>
                <c:pt idx="25">
                  <c:v>2015</c:v>
                </c:pt>
                <c:pt idx="26">
                  <c:v>2017</c:v>
                </c:pt>
                <c:pt idx="27">
                  <c:v>2019</c:v>
                </c:pt>
                <c:pt idx="28">
                  <c:v>2024</c:v>
                </c:pt>
              </c:strCache>
            </c:strRef>
          </c:cat>
          <c:val>
            <c:numRef>
              <c:f>historic_combined!$Q$4:$Q$32</c:f>
              <c:numCache>
                <c:formatCode>0.0%</c:formatCode>
                <c:ptCount val="29"/>
                <c:pt idx="0">
                  <c:v>2.1049650255163001E-2</c:v>
                </c:pt>
                <c:pt idx="1">
                  <c:v>8.8755911395775496E-3</c:v>
                </c:pt>
                <c:pt idx="2">
                  <c:v>4.2236861267345551E-3</c:v>
                </c:pt>
                <c:pt idx="3">
                  <c:v>1.3087154412123684E-2</c:v>
                </c:pt>
                <c:pt idx="4">
                  <c:v>3.5463870640243199E-3</c:v>
                </c:pt>
                <c:pt idx="5">
                  <c:v>5.2072240636133497E-3</c:v>
                </c:pt>
                <c:pt idx="6">
                  <c:v>4.6728097531798553E-3</c:v>
                </c:pt>
                <c:pt idx="7">
                  <c:v>8.6391188115099004E-3</c:v>
                </c:pt>
                <c:pt idx="8">
                  <c:v>3.6811445873076561E-2</c:v>
                </c:pt>
                <c:pt idx="9">
                  <c:v>3.8053200743869607E-2</c:v>
                </c:pt>
                <c:pt idx="10">
                  <c:v>2.3161037055668002E-3</c:v>
                </c:pt>
                <c:pt idx="11">
                  <c:v>1.3204237127348499E-3</c:v>
                </c:pt>
                <c:pt idx="12">
                  <c:v>1.842220046317705E-3</c:v>
                </c:pt>
                <c:pt idx="13">
                  <c:v>2.5734260175174E-3</c:v>
                </c:pt>
                <c:pt idx="14">
                  <c:v>3.16704551667035E-3</c:v>
                </c:pt>
                <c:pt idx="15">
                  <c:v>4.5573931352654298E-3</c:v>
                </c:pt>
                <c:pt idx="16">
                  <c:v>3.7296902694568552E-3</c:v>
                </c:pt>
                <c:pt idx="17">
                  <c:v>5.6599707770817499E-3</c:v>
                </c:pt>
                <c:pt idx="18">
                  <c:v>3.3167464523129902E-3</c:v>
                </c:pt>
                <c:pt idx="19">
                  <c:v>2.0002964287319249E-3</c:v>
                </c:pt>
                <c:pt idx="20">
                  <c:v>1.6801197086053995E-3</c:v>
                </c:pt>
                <c:pt idx="21">
                  <c:v>2.4795777524738096E-3</c:v>
                </c:pt>
                <c:pt idx="22">
                  <c:v>4.347664229347477E-3</c:v>
                </c:pt>
                <c:pt idx="23">
                  <c:v>1.1214166092779483E-2</c:v>
                </c:pt>
                <c:pt idx="24">
                  <c:v>2.3446645720395655E-2</c:v>
                </c:pt>
                <c:pt idx="25">
                  <c:v>1.65266588832043E-3</c:v>
                </c:pt>
                <c:pt idx="26">
                  <c:v>2.7502825902641186E-3</c:v>
                </c:pt>
                <c:pt idx="27">
                  <c:v>4.5198111364460128E-3</c:v>
                </c:pt>
                <c:pt idx="28">
                  <c:v>1.0475893877665442E-2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E4-4A8C-91F8-EB4AE83D3766}"/>
            </c:ext>
          </c:extLst>
        </c:ser>
        <c:ser>
          <c:idx val="1"/>
          <c:order val="1"/>
          <c:tx>
            <c:strRef>
              <c:f>historic_combined!$R$3</c:f>
              <c:strCache>
                <c:ptCount val="1"/>
                <c:pt idx="0">
                  <c:v>Reform_UKIP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strRef>
              <c:f>historic_combined!$P$4:$P$32</c:f>
              <c:strCache>
                <c:ptCount val="29"/>
                <c:pt idx="0">
                  <c:v>1918</c:v>
                </c:pt>
                <c:pt idx="1">
                  <c:v>1922</c:v>
                </c:pt>
                <c:pt idx="2">
                  <c:v>1923</c:v>
                </c:pt>
                <c:pt idx="3">
                  <c:v>1924</c:v>
                </c:pt>
                <c:pt idx="4">
                  <c:v>1929</c:v>
                </c:pt>
                <c:pt idx="5">
                  <c:v>1931</c:v>
                </c:pt>
                <c:pt idx="6">
                  <c:v>1935</c:v>
                </c:pt>
                <c:pt idx="7">
                  <c:v>1945</c:v>
                </c:pt>
                <c:pt idx="8">
                  <c:v>1950</c:v>
                </c:pt>
                <c:pt idx="9">
                  <c:v>1951</c:v>
                </c:pt>
                <c:pt idx="10">
                  <c:v>1955</c:v>
                </c:pt>
                <c:pt idx="11">
                  <c:v>1959</c:v>
                </c:pt>
                <c:pt idx="12">
                  <c:v>1964</c:v>
                </c:pt>
                <c:pt idx="13">
                  <c:v>1966</c:v>
                </c:pt>
                <c:pt idx="14">
                  <c:v>1970</c:v>
                </c:pt>
                <c:pt idx="15">
                  <c:v>1974F</c:v>
                </c:pt>
                <c:pt idx="16">
                  <c:v>1974O</c:v>
                </c:pt>
                <c:pt idx="17">
                  <c:v>1979</c:v>
                </c:pt>
                <c:pt idx="18">
                  <c:v>1983</c:v>
                </c:pt>
                <c:pt idx="19">
                  <c:v>1987</c:v>
                </c:pt>
                <c:pt idx="20">
                  <c:v>1992</c:v>
                </c:pt>
                <c:pt idx="21">
                  <c:v>1997</c:v>
                </c:pt>
                <c:pt idx="22">
                  <c:v>2001</c:v>
                </c:pt>
                <c:pt idx="23">
                  <c:v>2005</c:v>
                </c:pt>
                <c:pt idx="24">
                  <c:v>2010</c:v>
                </c:pt>
                <c:pt idx="25">
                  <c:v>2015</c:v>
                </c:pt>
                <c:pt idx="26">
                  <c:v>2017</c:v>
                </c:pt>
                <c:pt idx="27">
                  <c:v>2019</c:v>
                </c:pt>
                <c:pt idx="28">
                  <c:v>2024</c:v>
                </c:pt>
              </c:strCache>
            </c:strRef>
          </c:cat>
          <c:val>
            <c:numRef>
              <c:f>historic_combined!$R$4:$R$32</c:f>
              <c:numCache>
                <c:formatCode>0.0%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2.6873893211156633E-2</c:v>
                </c:pt>
                <c:pt idx="22">
                  <c:v>1.5320955187687909E-2</c:v>
                </c:pt>
                <c:pt idx="23">
                  <c:v>2.3069941165602466E-2</c:v>
                </c:pt>
                <c:pt idx="24">
                  <c:v>3.1936053570145416E-2</c:v>
                </c:pt>
                <c:pt idx="25">
                  <c:v>0.12995836181366885</c:v>
                </c:pt>
                <c:pt idx="26">
                  <c:v>1.8951045100685203E-2</c:v>
                </c:pt>
                <c:pt idx="27">
                  <c:v>2.0701760361532193E-2</c:v>
                </c:pt>
                <c:pt idx="28">
                  <c:v>0.14836793006880072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E4-4A8C-91F8-EB4AE83D3766}"/>
            </c:ext>
          </c:extLst>
        </c:ser>
        <c:ser>
          <c:idx val="2"/>
          <c:order val="2"/>
          <c:tx>
            <c:strRef>
              <c:f>historic_combined!$S$3</c:f>
              <c:strCache>
                <c:ptCount val="1"/>
                <c:pt idx="0">
                  <c:v>Conservative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cat>
            <c:strRef>
              <c:f>historic_combined!$P$4:$P$32</c:f>
              <c:strCache>
                <c:ptCount val="29"/>
                <c:pt idx="0">
                  <c:v>1918</c:v>
                </c:pt>
                <c:pt idx="1">
                  <c:v>1922</c:v>
                </c:pt>
                <c:pt idx="2">
                  <c:v>1923</c:v>
                </c:pt>
                <c:pt idx="3">
                  <c:v>1924</c:v>
                </c:pt>
                <c:pt idx="4">
                  <c:v>1929</c:v>
                </c:pt>
                <c:pt idx="5">
                  <c:v>1931</c:v>
                </c:pt>
                <c:pt idx="6">
                  <c:v>1935</c:v>
                </c:pt>
                <c:pt idx="7">
                  <c:v>1945</c:v>
                </c:pt>
                <c:pt idx="8">
                  <c:v>1950</c:v>
                </c:pt>
                <c:pt idx="9">
                  <c:v>1951</c:v>
                </c:pt>
                <c:pt idx="10">
                  <c:v>1955</c:v>
                </c:pt>
                <c:pt idx="11">
                  <c:v>1959</c:v>
                </c:pt>
                <c:pt idx="12">
                  <c:v>1964</c:v>
                </c:pt>
                <c:pt idx="13">
                  <c:v>1966</c:v>
                </c:pt>
                <c:pt idx="14">
                  <c:v>1970</c:v>
                </c:pt>
                <c:pt idx="15">
                  <c:v>1974F</c:v>
                </c:pt>
                <c:pt idx="16">
                  <c:v>1974O</c:v>
                </c:pt>
                <c:pt idx="17">
                  <c:v>1979</c:v>
                </c:pt>
                <c:pt idx="18">
                  <c:v>1983</c:v>
                </c:pt>
                <c:pt idx="19">
                  <c:v>1987</c:v>
                </c:pt>
                <c:pt idx="20">
                  <c:v>1992</c:v>
                </c:pt>
                <c:pt idx="21">
                  <c:v>1997</c:v>
                </c:pt>
                <c:pt idx="22">
                  <c:v>2001</c:v>
                </c:pt>
                <c:pt idx="23">
                  <c:v>2005</c:v>
                </c:pt>
                <c:pt idx="24">
                  <c:v>2010</c:v>
                </c:pt>
                <c:pt idx="25">
                  <c:v>2015</c:v>
                </c:pt>
                <c:pt idx="26">
                  <c:v>2017</c:v>
                </c:pt>
                <c:pt idx="27">
                  <c:v>2019</c:v>
                </c:pt>
                <c:pt idx="28">
                  <c:v>2024</c:v>
                </c:pt>
              </c:strCache>
            </c:strRef>
          </c:cat>
          <c:val>
            <c:numRef>
              <c:f>historic_combined!$S$4:$S$32</c:f>
              <c:numCache>
                <c:formatCode>0.0%</c:formatCode>
                <c:ptCount val="29"/>
                <c:pt idx="0">
                  <c:v>0.40315174431220502</c:v>
                </c:pt>
                <c:pt idx="1">
                  <c:v>0.39084246534922001</c:v>
                </c:pt>
                <c:pt idx="2">
                  <c:v>0.37836710042676303</c:v>
                </c:pt>
                <c:pt idx="3">
                  <c:v>0.45839504339058401</c:v>
                </c:pt>
                <c:pt idx="4">
                  <c:v>0.37410669926649898</c:v>
                </c:pt>
                <c:pt idx="5">
                  <c:v>0.55076792237584404</c:v>
                </c:pt>
                <c:pt idx="6">
                  <c:v>0.47689367779372999</c:v>
                </c:pt>
                <c:pt idx="7">
                  <c:v>0.36024811284870101</c:v>
                </c:pt>
                <c:pt idx="8">
                  <c:v>0.396572313944559</c:v>
                </c:pt>
                <c:pt idx="9">
                  <c:v>0.43963478203439199</c:v>
                </c:pt>
                <c:pt idx="10">
                  <c:v>0.49182406565072101</c:v>
                </c:pt>
                <c:pt idx="11">
                  <c:v>0.48762909263276499</c:v>
                </c:pt>
                <c:pt idx="12">
                  <c:v>0.42943111857126098</c:v>
                </c:pt>
                <c:pt idx="13">
                  <c:v>0.41434213753087001</c:v>
                </c:pt>
                <c:pt idx="14">
                  <c:v>0.46155695180475798</c:v>
                </c:pt>
                <c:pt idx="15">
                  <c:v>0.38651531456018201</c:v>
                </c:pt>
                <c:pt idx="16">
                  <c:v>0.36735304322478202</c:v>
                </c:pt>
                <c:pt idx="17">
                  <c:v>0.44871577025006298</c:v>
                </c:pt>
                <c:pt idx="18">
                  <c:v>0.43511695526684901</c:v>
                </c:pt>
                <c:pt idx="19">
                  <c:v>0.43274000310140098</c:v>
                </c:pt>
                <c:pt idx="20">
                  <c:v>0.42937084436936895</c:v>
                </c:pt>
                <c:pt idx="21">
                  <c:v>0.3174848944435803</c:v>
                </c:pt>
                <c:pt idx="22">
                  <c:v>0.32785144750257522</c:v>
                </c:pt>
                <c:pt idx="23">
                  <c:v>0.33444967382180157</c:v>
                </c:pt>
                <c:pt idx="24">
                  <c:v>0.37174394880262462</c:v>
                </c:pt>
                <c:pt idx="25">
                  <c:v>0.37952586197514998</c:v>
                </c:pt>
                <c:pt idx="26">
                  <c:v>0.43611070686133691</c:v>
                </c:pt>
                <c:pt idx="27">
                  <c:v>0.44878081853726504</c:v>
                </c:pt>
                <c:pt idx="28">
                  <c:v>0.24606288750420993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E4-4A8C-91F8-EB4AE83D3766}"/>
            </c:ext>
          </c:extLst>
        </c:ser>
        <c:ser>
          <c:idx val="3"/>
          <c:order val="3"/>
          <c:tx>
            <c:strRef>
              <c:f>historic_combined!$T$3</c:f>
              <c:strCache>
                <c:ptCount val="1"/>
                <c:pt idx="0">
                  <c:v>Liberal Democrats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cat>
            <c:strRef>
              <c:f>historic_combined!$P$4:$P$32</c:f>
              <c:strCache>
                <c:ptCount val="29"/>
                <c:pt idx="0">
                  <c:v>1918</c:v>
                </c:pt>
                <c:pt idx="1">
                  <c:v>1922</c:v>
                </c:pt>
                <c:pt idx="2">
                  <c:v>1923</c:v>
                </c:pt>
                <c:pt idx="3">
                  <c:v>1924</c:v>
                </c:pt>
                <c:pt idx="4">
                  <c:v>1929</c:v>
                </c:pt>
                <c:pt idx="5">
                  <c:v>1931</c:v>
                </c:pt>
                <c:pt idx="6">
                  <c:v>1935</c:v>
                </c:pt>
                <c:pt idx="7">
                  <c:v>1945</c:v>
                </c:pt>
                <c:pt idx="8">
                  <c:v>1950</c:v>
                </c:pt>
                <c:pt idx="9">
                  <c:v>1951</c:v>
                </c:pt>
                <c:pt idx="10">
                  <c:v>1955</c:v>
                </c:pt>
                <c:pt idx="11">
                  <c:v>1959</c:v>
                </c:pt>
                <c:pt idx="12">
                  <c:v>1964</c:v>
                </c:pt>
                <c:pt idx="13">
                  <c:v>1966</c:v>
                </c:pt>
                <c:pt idx="14">
                  <c:v>1970</c:v>
                </c:pt>
                <c:pt idx="15">
                  <c:v>1974F</c:v>
                </c:pt>
                <c:pt idx="16">
                  <c:v>1974O</c:v>
                </c:pt>
                <c:pt idx="17">
                  <c:v>1979</c:v>
                </c:pt>
                <c:pt idx="18">
                  <c:v>1983</c:v>
                </c:pt>
                <c:pt idx="19">
                  <c:v>1987</c:v>
                </c:pt>
                <c:pt idx="20">
                  <c:v>1992</c:v>
                </c:pt>
                <c:pt idx="21">
                  <c:v>1997</c:v>
                </c:pt>
                <c:pt idx="22">
                  <c:v>2001</c:v>
                </c:pt>
                <c:pt idx="23">
                  <c:v>2005</c:v>
                </c:pt>
                <c:pt idx="24">
                  <c:v>2010</c:v>
                </c:pt>
                <c:pt idx="25">
                  <c:v>2015</c:v>
                </c:pt>
                <c:pt idx="26">
                  <c:v>2017</c:v>
                </c:pt>
                <c:pt idx="27">
                  <c:v>2019</c:v>
                </c:pt>
                <c:pt idx="28">
                  <c:v>2024</c:v>
                </c:pt>
              </c:strCache>
            </c:strRef>
          </c:cat>
          <c:val>
            <c:numRef>
              <c:f>historic_combined!$T$4:$T$32</c:f>
              <c:numCache>
                <c:formatCode>0.0%</c:formatCode>
                <c:ptCount val="29"/>
                <c:pt idx="0">
                  <c:v>0.290422589166002</c:v>
                </c:pt>
                <c:pt idx="1">
                  <c:v>0.29067601402544802</c:v>
                </c:pt>
                <c:pt idx="2">
                  <c:v>0.29943523178884901</c:v>
                </c:pt>
                <c:pt idx="3">
                  <c:v>0.18173776596166699</c:v>
                </c:pt>
                <c:pt idx="4">
                  <c:v>0.23657671985178899</c:v>
                </c:pt>
                <c:pt idx="5">
                  <c:v>0.100822903941824</c:v>
                </c:pt>
                <c:pt idx="6">
                  <c:v>0.10633396861330401</c:v>
                </c:pt>
                <c:pt idx="7">
                  <c:v>0.121098828332181</c:v>
                </c:pt>
                <c:pt idx="8">
                  <c:v>9.3162226195311101E-2</c:v>
                </c:pt>
                <c:pt idx="9">
                  <c:v>2.5968181614113899E-2</c:v>
                </c:pt>
                <c:pt idx="10">
                  <c:v>2.7663962519264E-2</c:v>
                </c:pt>
                <c:pt idx="11">
                  <c:v>6.0012019943915501E-2</c:v>
                </c:pt>
                <c:pt idx="12">
                  <c:v>0.11405595502376201</c:v>
                </c:pt>
                <c:pt idx="13">
                  <c:v>8.6182604541564997E-2</c:v>
                </c:pt>
                <c:pt idx="14">
                  <c:v>7.6357681080283193E-2</c:v>
                </c:pt>
                <c:pt idx="15">
                  <c:v>0.19790775716234299</c:v>
                </c:pt>
                <c:pt idx="16">
                  <c:v>0.18769081454598899</c:v>
                </c:pt>
                <c:pt idx="17">
                  <c:v>0.14131609795059899</c:v>
                </c:pt>
                <c:pt idx="18">
                  <c:v>0.260168473418881</c:v>
                </c:pt>
                <c:pt idx="19">
                  <c:v>0.230880118792887</c:v>
                </c:pt>
                <c:pt idx="20">
                  <c:v>0.18361097603469936</c:v>
                </c:pt>
                <c:pt idx="21">
                  <c:v>0.17355246824194406</c:v>
                </c:pt>
                <c:pt idx="22">
                  <c:v>0.18885556568375611</c:v>
                </c:pt>
                <c:pt idx="23">
                  <c:v>0.22787165703656753</c:v>
                </c:pt>
                <c:pt idx="24">
                  <c:v>0.23744454058160858</c:v>
                </c:pt>
                <c:pt idx="25">
                  <c:v>8.0896798983852658E-2</c:v>
                </c:pt>
                <c:pt idx="26">
                  <c:v>7.5663467454157279E-2</c:v>
                </c:pt>
                <c:pt idx="27">
                  <c:v>0.11877617213909118</c:v>
                </c:pt>
                <c:pt idx="28">
                  <c:v>0.12680333846399366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E4-4A8C-91F8-EB4AE83D3766}"/>
            </c:ext>
          </c:extLst>
        </c:ser>
        <c:ser>
          <c:idx val="4"/>
          <c:order val="4"/>
          <c:tx>
            <c:strRef>
              <c:f>historic_combined!$U$3</c:f>
              <c:strCache>
                <c:ptCount val="1"/>
                <c:pt idx="0">
                  <c:v>Labour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strRef>
              <c:f>historic_combined!$P$4:$P$32</c:f>
              <c:strCache>
                <c:ptCount val="29"/>
                <c:pt idx="0">
                  <c:v>1918</c:v>
                </c:pt>
                <c:pt idx="1">
                  <c:v>1922</c:v>
                </c:pt>
                <c:pt idx="2">
                  <c:v>1923</c:v>
                </c:pt>
                <c:pt idx="3">
                  <c:v>1924</c:v>
                </c:pt>
                <c:pt idx="4">
                  <c:v>1929</c:v>
                </c:pt>
                <c:pt idx="5">
                  <c:v>1931</c:v>
                </c:pt>
                <c:pt idx="6">
                  <c:v>1935</c:v>
                </c:pt>
                <c:pt idx="7">
                  <c:v>1945</c:v>
                </c:pt>
                <c:pt idx="8">
                  <c:v>1950</c:v>
                </c:pt>
                <c:pt idx="9">
                  <c:v>1951</c:v>
                </c:pt>
                <c:pt idx="10">
                  <c:v>1955</c:v>
                </c:pt>
                <c:pt idx="11">
                  <c:v>1959</c:v>
                </c:pt>
                <c:pt idx="12">
                  <c:v>1964</c:v>
                </c:pt>
                <c:pt idx="13">
                  <c:v>1966</c:v>
                </c:pt>
                <c:pt idx="14">
                  <c:v>1970</c:v>
                </c:pt>
                <c:pt idx="15">
                  <c:v>1974F</c:v>
                </c:pt>
                <c:pt idx="16">
                  <c:v>1974O</c:v>
                </c:pt>
                <c:pt idx="17">
                  <c:v>1979</c:v>
                </c:pt>
                <c:pt idx="18">
                  <c:v>1983</c:v>
                </c:pt>
                <c:pt idx="19">
                  <c:v>1987</c:v>
                </c:pt>
                <c:pt idx="20">
                  <c:v>1992</c:v>
                </c:pt>
                <c:pt idx="21">
                  <c:v>1997</c:v>
                </c:pt>
                <c:pt idx="22">
                  <c:v>2001</c:v>
                </c:pt>
                <c:pt idx="23">
                  <c:v>2005</c:v>
                </c:pt>
                <c:pt idx="24">
                  <c:v>2010</c:v>
                </c:pt>
                <c:pt idx="25">
                  <c:v>2015</c:v>
                </c:pt>
                <c:pt idx="26">
                  <c:v>2017</c:v>
                </c:pt>
                <c:pt idx="27">
                  <c:v>2019</c:v>
                </c:pt>
                <c:pt idx="28">
                  <c:v>2024</c:v>
                </c:pt>
              </c:strCache>
            </c:strRef>
          </c:cat>
          <c:val>
            <c:numRef>
              <c:f>historic_combined!$U$4:$U$32</c:f>
              <c:numCache>
                <c:formatCode>0.0%</c:formatCode>
                <c:ptCount val="29"/>
                <c:pt idx="0">
                  <c:v>0.26422253601013201</c:v>
                </c:pt>
                <c:pt idx="1">
                  <c:v>0.29966919186555802</c:v>
                </c:pt>
                <c:pt idx="2">
                  <c:v>0.31198230337252097</c:v>
                </c:pt>
                <c:pt idx="3">
                  <c:v>0.342696191866804</c:v>
                </c:pt>
                <c:pt idx="4">
                  <c:v>0.37925114311451302</c:v>
                </c:pt>
                <c:pt idx="5">
                  <c:v>0.29810335792926301</c:v>
                </c:pt>
                <c:pt idx="6">
                  <c:v>0.38626472243226201</c:v>
                </c:pt>
                <c:pt idx="7">
                  <c:v>0.49066915250968401</c:v>
                </c:pt>
                <c:pt idx="8">
                  <c:v>0.46783537960497101</c:v>
                </c:pt>
                <c:pt idx="9">
                  <c:v>0.48688788932002203</c:v>
                </c:pt>
                <c:pt idx="10">
                  <c:v>0.47368813671167698</c:v>
                </c:pt>
                <c:pt idx="11">
                  <c:v>0.44607852353250899</c:v>
                </c:pt>
                <c:pt idx="12">
                  <c:v>0.44788603408538202</c:v>
                </c:pt>
                <c:pt idx="13">
                  <c:v>0.487220914387622</c:v>
                </c:pt>
                <c:pt idx="14">
                  <c:v>0.43827221471060201</c:v>
                </c:pt>
                <c:pt idx="15">
                  <c:v>0.38020521357792503</c:v>
                </c:pt>
                <c:pt idx="16">
                  <c:v>0.40218503936731498</c:v>
                </c:pt>
                <c:pt idx="17">
                  <c:v>0.37778721452939101</c:v>
                </c:pt>
                <c:pt idx="18">
                  <c:v>0.28279034910896</c:v>
                </c:pt>
                <c:pt idx="19">
                  <c:v>0.31539510764284501</c:v>
                </c:pt>
                <c:pt idx="20">
                  <c:v>0.35208064623344582</c:v>
                </c:pt>
                <c:pt idx="21">
                  <c:v>0.44827291370065103</c:v>
                </c:pt>
                <c:pt idx="22">
                  <c:v>0.42134680345216252</c:v>
                </c:pt>
                <c:pt idx="23">
                  <c:v>0.36366989372163933</c:v>
                </c:pt>
                <c:pt idx="24">
                  <c:v>0.29980487509078052</c:v>
                </c:pt>
                <c:pt idx="25">
                  <c:v>0.31299286271881693</c:v>
                </c:pt>
                <c:pt idx="26">
                  <c:v>0.41081156504125083</c:v>
                </c:pt>
                <c:pt idx="27">
                  <c:v>0.33083518203855417</c:v>
                </c:pt>
                <c:pt idx="28">
                  <c:v>0.35073819496819109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E4-4A8C-91F8-EB4AE83D3766}"/>
            </c:ext>
          </c:extLst>
        </c:ser>
        <c:ser>
          <c:idx val="5"/>
          <c:order val="5"/>
          <c:tx>
            <c:strRef>
              <c:f>historic_combined!$V$3</c:f>
              <c:strCache>
                <c:ptCount val="1"/>
                <c:pt idx="0">
                  <c:v>SNP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cat>
            <c:strRef>
              <c:f>historic_combined!$P$4:$P$32</c:f>
              <c:strCache>
                <c:ptCount val="29"/>
                <c:pt idx="0">
                  <c:v>1918</c:v>
                </c:pt>
                <c:pt idx="1">
                  <c:v>1922</c:v>
                </c:pt>
                <c:pt idx="2">
                  <c:v>1923</c:v>
                </c:pt>
                <c:pt idx="3">
                  <c:v>1924</c:v>
                </c:pt>
                <c:pt idx="4">
                  <c:v>1929</c:v>
                </c:pt>
                <c:pt idx="5">
                  <c:v>1931</c:v>
                </c:pt>
                <c:pt idx="6">
                  <c:v>1935</c:v>
                </c:pt>
                <c:pt idx="7">
                  <c:v>1945</c:v>
                </c:pt>
                <c:pt idx="8">
                  <c:v>1950</c:v>
                </c:pt>
                <c:pt idx="9">
                  <c:v>1951</c:v>
                </c:pt>
                <c:pt idx="10">
                  <c:v>1955</c:v>
                </c:pt>
                <c:pt idx="11">
                  <c:v>1959</c:v>
                </c:pt>
                <c:pt idx="12">
                  <c:v>1964</c:v>
                </c:pt>
                <c:pt idx="13">
                  <c:v>1966</c:v>
                </c:pt>
                <c:pt idx="14">
                  <c:v>1970</c:v>
                </c:pt>
                <c:pt idx="15">
                  <c:v>1974F</c:v>
                </c:pt>
                <c:pt idx="16">
                  <c:v>1974O</c:v>
                </c:pt>
                <c:pt idx="17">
                  <c:v>1979</c:v>
                </c:pt>
                <c:pt idx="18">
                  <c:v>1983</c:v>
                </c:pt>
                <c:pt idx="19">
                  <c:v>1987</c:v>
                </c:pt>
                <c:pt idx="20">
                  <c:v>1992</c:v>
                </c:pt>
                <c:pt idx="21">
                  <c:v>1997</c:v>
                </c:pt>
                <c:pt idx="22">
                  <c:v>2001</c:v>
                </c:pt>
                <c:pt idx="23">
                  <c:v>2005</c:v>
                </c:pt>
                <c:pt idx="24">
                  <c:v>2010</c:v>
                </c:pt>
                <c:pt idx="25">
                  <c:v>2015</c:v>
                </c:pt>
                <c:pt idx="26">
                  <c:v>2017</c:v>
                </c:pt>
                <c:pt idx="27">
                  <c:v>2019</c:v>
                </c:pt>
                <c:pt idx="28">
                  <c:v>2024</c:v>
                </c:pt>
              </c:strCache>
            </c:strRef>
          </c:cat>
          <c:val>
            <c:numRef>
              <c:f>historic_combined!$V$4:$V$32</c:f>
              <c:numCache>
                <c:formatCode>0.0%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8.8206607758844796E-4</c:v>
                </c:pt>
                <c:pt idx="6">
                  <c:v>0</c:v>
                </c:pt>
                <c:pt idx="7">
                  <c:v>0</c:v>
                </c:pt>
                <c:pt idx="8">
                  <c:v>1.0198574945141399E-4</c:v>
                </c:pt>
                <c:pt idx="9">
                  <c:v>2.5945218727009301E-4</c:v>
                </c:pt>
                <c:pt idx="10">
                  <c:v>4.63821963440474E-4</c:v>
                </c:pt>
                <c:pt idx="11">
                  <c:v>7.9666303077839304E-4</c:v>
                </c:pt>
                <c:pt idx="12">
                  <c:v>2.3701388265407299E-3</c:v>
                </c:pt>
                <c:pt idx="13">
                  <c:v>4.81747270358785E-3</c:v>
                </c:pt>
                <c:pt idx="14">
                  <c:v>1.1129951530973301E-2</c:v>
                </c:pt>
                <c:pt idx="15">
                  <c:v>2.06600994733434E-2</c:v>
                </c:pt>
                <c:pt idx="16">
                  <c:v>2.9473602844011699E-2</c:v>
                </c:pt>
                <c:pt idx="17">
                  <c:v>1.6518978009627899E-2</c:v>
                </c:pt>
                <c:pt idx="18">
                  <c:v>1.11006286237755E-2</c:v>
                </c:pt>
                <c:pt idx="19">
                  <c:v>1.3097237775436E-2</c:v>
                </c:pt>
                <c:pt idx="20">
                  <c:v>1.9179015825783255E-2</c:v>
                </c:pt>
                <c:pt idx="21">
                  <c:v>2.0574599864499932E-2</c:v>
                </c:pt>
                <c:pt idx="22">
                  <c:v>1.8214049940767876E-2</c:v>
                </c:pt>
                <c:pt idx="23">
                  <c:v>1.5695378233880768E-2</c:v>
                </c:pt>
                <c:pt idx="24">
                  <c:v>1.7065953872475628E-2</c:v>
                </c:pt>
                <c:pt idx="25">
                  <c:v>4.8701700194410204E-2</c:v>
                </c:pt>
                <c:pt idx="26">
                  <c:v>3.1184873208095088E-2</c:v>
                </c:pt>
                <c:pt idx="27">
                  <c:v>3.9921107629347245E-2</c:v>
                </c:pt>
                <c:pt idx="28">
                  <c:v>2.6114805217772371E-2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3E4-4A8C-91F8-EB4AE83D3766}"/>
            </c:ext>
          </c:extLst>
        </c:ser>
        <c:ser>
          <c:idx val="6"/>
          <c:order val="6"/>
          <c:tx>
            <c:strRef>
              <c:f>historic_combined!$W$3</c:f>
              <c:strCache>
                <c:ptCount val="1"/>
                <c:pt idx="0">
                  <c:v>Green Party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strRef>
              <c:f>historic_combined!$P$4:$P$32</c:f>
              <c:strCache>
                <c:ptCount val="29"/>
                <c:pt idx="0">
                  <c:v>1918</c:v>
                </c:pt>
                <c:pt idx="1">
                  <c:v>1922</c:v>
                </c:pt>
                <c:pt idx="2">
                  <c:v>1923</c:v>
                </c:pt>
                <c:pt idx="3">
                  <c:v>1924</c:v>
                </c:pt>
                <c:pt idx="4">
                  <c:v>1929</c:v>
                </c:pt>
                <c:pt idx="5">
                  <c:v>1931</c:v>
                </c:pt>
                <c:pt idx="6">
                  <c:v>1935</c:v>
                </c:pt>
                <c:pt idx="7">
                  <c:v>1945</c:v>
                </c:pt>
                <c:pt idx="8">
                  <c:v>1950</c:v>
                </c:pt>
                <c:pt idx="9">
                  <c:v>1951</c:v>
                </c:pt>
                <c:pt idx="10">
                  <c:v>1955</c:v>
                </c:pt>
                <c:pt idx="11">
                  <c:v>1959</c:v>
                </c:pt>
                <c:pt idx="12">
                  <c:v>1964</c:v>
                </c:pt>
                <c:pt idx="13">
                  <c:v>1966</c:v>
                </c:pt>
                <c:pt idx="14">
                  <c:v>1970</c:v>
                </c:pt>
                <c:pt idx="15">
                  <c:v>1974F</c:v>
                </c:pt>
                <c:pt idx="16">
                  <c:v>1974O</c:v>
                </c:pt>
                <c:pt idx="17">
                  <c:v>1979</c:v>
                </c:pt>
                <c:pt idx="18">
                  <c:v>1983</c:v>
                </c:pt>
                <c:pt idx="19">
                  <c:v>1987</c:v>
                </c:pt>
                <c:pt idx="20">
                  <c:v>1992</c:v>
                </c:pt>
                <c:pt idx="21">
                  <c:v>1997</c:v>
                </c:pt>
                <c:pt idx="22">
                  <c:v>2001</c:v>
                </c:pt>
                <c:pt idx="23">
                  <c:v>2005</c:v>
                </c:pt>
                <c:pt idx="24">
                  <c:v>2010</c:v>
                </c:pt>
                <c:pt idx="25">
                  <c:v>2015</c:v>
                </c:pt>
                <c:pt idx="26">
                  <c:v>2017</c:v>
                </c:pt>
                <c:pt idx="27">
                  <c:v>2019</c:v>
                </c:pt>
                <c:pt idx="28">
                  <c:v>2024</c:v>
                </c:pt>
              </c:strCache>
            </c:strRef>
          </c:cat>
          <c:val>
            <c:numRef>
              <c:f>historic_combined!$W$4:$W$32</c:f>
              <c:numCache>
                <c:formatCode>0.0%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5.180404643503579E-3</c:v>
                </c:pt>
                <c:pt idx="21">
                  <c:v>2.0434247031380346E-3</c:v>
                </c:pt>
                <c:pt idx="22">
                  <c:v>6.5305383684084771E-3</c:v>
                </c:pt>
                <c:pt idx="23">
                  <c:v>9.8130806074913576E-3</c:v>
                </c:pt>
                <c:pt idx="24">
                  <c:v>9.2120920555582436E-3</c:v>
                </c:pt>
                <c:pt idx="25">
                  <c:v>3.722195823068665E-2</c:v>
                </c:pt>
                <c:pt idx="26">
                  <c:v>1.634346923803125E-2</c:v>
                </c:pt>
                <c:pt idx="27">
                  <c:v>2.6850044086156946E-2</c:v>
                </c:pt>
                <c:pt idx="28">
                  <c:v>6.6367734268476253E-2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E4-4A8C-91F8-EB4AE83D3766}"/>
            </c:ext>
          </c:extLst>
        </c:ser>
        <c:ser>
          <c:idx val="7"/>
          <c:order val="7"/>
          <c:tx>
            <c:strRef>
              <c:f>historic_combined!$X$3</c:f>
              <c:strCache>
                <c:ptCount val="1"/>
                <c:pt idx="0">
                  <c:v>Other Left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cat>
            <c:strRef>
              <c:f>historic_combined!$P$4:$P$32</c:f>
              <c:strCache>
                <c:ptCount val="29"/>
                <c:pt idx="0">
                  <c:v>1918</c:v>
                </c:pt>
                <c:pt idx="1">
                  <c:v>1922</c:v>
                </c:pt>
                <c:pt idx="2">
                  <c:v>1923</c:v>
                </c:pt>
                <c:pt idx="3">
                  <c:v>1924</c:v>
                </c:pt>
                <c:pt idx="4">
                  <c:v>1929</c:v>
                </c:pt>
                <c:pt idx="5">
                  <c:v>1931</c:v>
                </c:pt>
                <c:pt idx="6">
                  <c:v>1935</c:v>
                </c:pt>
                <c:pt idx="7">
                  <c:v>1945</c:v>
                </c:pt>
                <c:pt idx="8">
                  <c:v>1950</c:v>
                </c:pt>
                <c:pt idx="9">
                  <c:v>1951</c:v>
                </c:pt>
                <c:pt idx="10">
                  <c:v>1955</c:v>
                </c:pt>
                <c:pt idx="11">
                  <c:v>1959</c:v>
                </c:pt>
                <c:pt idx="12">
                  <c:v>1964</c:v>
                </c:pt>
                <c:pt idx="13">
                  <c:v>1966</c:v>
                </c:pt>
                <c:pt idx="14">
                  <c:v>1970</c:v>
                </c:pt>
                <c:pt idx="15">
                  <c:v>1974F</c:v>
                </c:pt>
                <c:pt idx="16">
                  <c:v>1974O</c:v>
                </c:pt>
                <c:pt idx="17">
                  <c:v>1979</c:v>
                </c:pt>
                <c:pt idx="18">
                  <c:v>1983</c:v>
                </c:pt>
                <c:pt idx="19">
                  <c:v>1987</c:v>
                </c:pt>
                <c:pt idx="20">
                  <c:v>1992</c:v>
                </c:pt>
                <c:pt idx="21">
                  <c:v>1997</c:v>
                </c:pt>
                <c:pt idx="22">
                  <c:v>2001</c:v>
                </c:pt>
                <c:pt idx="23">
                  <c:v>2005</c:v>
                </c:pt>
                <c:pt idx="24">
                  <c:v>2010</c:v>
                </c:pt>
                <c:pt idx="25">
                  <c:v>2015</c:v>
                </c:pt>
                <c:pt idx="26">
                  <c:v>2017</c:v>
                </c:pt>
                <c:pt idx="27">
                  <c:v>2019</c:v>
                </c:pt>
                <c:pt idx="28">
                  <c:v>2024</c:v>
                </c:pt>
              </c:strCache>
            </c:strRef>
          </c:cat>
          <c:val>
            <c:numRef>
              <c:f>historic_combined!$X$4:$X$32</c:f>
              <c:numCache>
                <c:formatCode>0.0%</c:formatCode>
                <c:ptCount val="29"/>
                <c:pt idx="0">
                  <c:v>2.1049650255163001E-2</c:v>
                </c:pt>
                <c:pt idx="1">
                  <c:v>9.8096704919335212E-3</c:v>
                </c:pt>
                <c:pt idx="2">
                  <c:v>5.9733018003507547E-3</c:v>
                </c:pt>
                <c:pt idx="3">
                  <c:v>4.0784266326622052E-3</c:v>
                </c:pt>
                <c:pt idx="4">
                  <c:v>5.8188324520492499E-3</c:v>
                </c:pt>
                <c:pt idx="5">
                  <c:v>4.4045497867811846E-2</c:v>
                </c:pt>
                <c:pt idx="6">
                  <c:v>2.5795597393639656E-2</c:v>
                </c:pt>
                <c:pt idx="7">
                  <c:v>1.9344658919836902E-2</c:v>
                </c:pt>
                <c:pt idx="8">
                  <c:v>5.516648632630055E-3</c:v>
                </c:pt>
                <c:pt idx="9">
                  <c:v>9.1964941003331042E-3</c:v>
                </c:pt>
                <c:pt idx="10">
                  <c:v>4.0439094493309007E-3</c:v>
                </c:pt>
                <c:pt idx="11">
                  <c:v>4.1632771472969402E-3</c:v>
                </c:pt>
                <c:pt idx="12">
                  <c:v>4.414533446735645E-3</c:v>
                </c:pt>
                <c:pt idx="13">
                  <c:v>4.8634448188376199E-3</c:v>
                </c:pt>
                <c:pt idx="14">
                  <c:v>9.5161553567131713E-3</c:v>
                </c:pt>
                <c:pt idx="15">
                  <c:v>1.0154222090941641E-2</c:v>
                </c:pt>
                <c:pt idx="16">
                  <c:v>9.5678097484459962E-3</c:v>
                </c:pt>
                <c:pt idx="17">
                  <c:v>1.0001968483236961E-2</c:v>
                </c:pt>
                <c:pt idx="18">
                  <c:v>7.50684712922145E-3</c:v>
                </c:pt>
                <c:pt idx="19">
                  <c:v>5.8872362586995745E-3</c:v>
                </c:pt>
                <c:pt idx="20">
                  <c:v>8.8979931845936406E-3</c:v>
                </c:pt>
                <c:pt idx="21">
                  <c:v>8.7182280825561977E-3</c:v>
                </c:pt>
                <c:pt idx="22">
                  <c:v>1.75329756352944E-2</c:v>
                </c:pt>
                <c:pt idx="23">
                  <c:v>1.42162093202375E-2</c:v>
                </c:pt>
                <c:pt idx="24">
                  <c:v>9.3458903064113658E-3</c:v>
                </c:pt>
                <c:pt idx="25">
                  <c:v>9.0497901950943021E-3</c:v>
                </c:pt>
                <c:pt idx="26">
                  <c:v>8.1845905061793435E-3</c:v>
                </c:pt>
                <c:pt idx="27">
                  <c:v>9.6151040716072299E-3</c:v>
                </c:pt>
                <c:pt idx="28">
                  <c:v>2.5069215630890516E-2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3E4-4A8C-91F8-EB4AE83D3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493599"/>
        <c:axId val="576496959"/>
      </c:areaChart>
      <c:catAx>
        <c:axId val="57649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496959"/>
        <c:crosses val="autoZero"/>
        <c:auto val="1"/>
        <c:lblAlgn val="ctr"/>
        <c:lblOffset val="100"/>
        <c:noMultiLvlLbl val="0"/>
      </c:catAx>
      <c:valAx>
        <c:axId val="57649695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493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historic_votes!$L$5</c:f>
              <c:strCache>
                <c:ptCount val="1"/>
                <c:pt idx="0">
                  <c:v>con_votes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cat>
            <c:strRef>
              <c:f>historic_votes!$K$6:$K$33</c:f>
              <c:strCache>
                <c:ptCount val="28"/>
                <c:pt idx="0">
                  <c:v>1918</c:v>
                </c:pt>
                <c:pt idx="1">
                  <c:v>1922</c:v>
                </c:pt>
                <c:pt idx="2">
                  <c:v>1923</c:v>
                </c:pt>
                <c:pt idx="3">
                  <c:v>1924</c:v>
                </c:pt>
                <c:pt idx="4">
                  <c:v>1929</c:v>
                </c:pt>
                <c:pt idx="5">
                  <c:v>1931</c:v>
                </c:pt>
                <c:pt idx="6">
                  <c:v>1935</c:v>
                </c:pt>
                <c:pt idx="7">
                  <c:v>1945</c:v>
                </c:pt>
                <c:pt idx="8">
                  <c:v>1950</c:v>
                </c:pt>
                <c:pt idx="9">
                  <c:v>1951</c:v>
                </c:pt>
                <c:pt idx="10">
                  <c:v>1955</c:v>
                </c:pt>
                <c:pt idx="11">
                  <c:v>1959</c:v>
                </c:pt>
                <c:pt idx="12">
                  <c:v>1964</c:v>
                </c:pt>
                <c:pt idx="13">
                  <c:v>1966</c:v>
                </c:pt>
                <c:pt idx="14">
                  <c:v>1970</c:v>
                </c:pt>
                <c:pt idx="15">
                  <c:v>1974F</c:v>
                </c:pt>
                <c:pt idx="16">
                  <c:v>1974O</c:v>
                </c:pt>
                <c:pt idx="17">
                  <c:v>1979</c:v>
                </c:pt>
                <c:pt idx="18">
                  <c:v>1983</c:v>
                </c:pt>
                <c:pt idx="19">
                  <c:v>1987</c:v>
                </c:pt>
                <c:pt idx="20">
                  <c:v>1992</c:v>
                </c:pt>
                <c:pt idx="21">
                  <c:v>1997</c:v>
                </c:pt>
                <c:pt idx="22">
                  <c:v>2001</c:v>
                </c:pt>
                <c:pt idx="23">
                  <c:v>2005</c:v>
                </c:pt>
                <c:pt idx="24">
                  <c:v>2010</c:v>
                </c:pt>
                <c:pt idx="25">
                  <c:v>2015</c:v>
                </c:pt>
                <c:pt idx="26">
                  <c:v>2017</c:v>
                </c:pt>
                <c:pt idx="27">
                  <c:v>2019</c:v>
                </c:pt>
              </c:strCache>
            </c:strRef>
          </c:cat>
          <c:val>
            <c:numRef>
              <c:f>historic_votes!$L$6:$L$33</c:f>
              <c:numCache>
                <c:formatCode>General</c:formatCode>
                <c:ptCount val="28"/>
                <c:pt idx="0">
                  <c:v>0.39934468285626268</c:v>
                </c:pt>
                <c:pt idx="1">
                  <c:v>0.38481430336272443</c:v>
                </c:pt>
                <c:pt idx="2">
                  <c:v>0.37883621149440216</c:v>
                </c:pt>
                <c:pt idx="3">
                  <c:v>0.4588045570691322</c:v>
                </c:pt>
                <c:pt idx="4">
                  <c:v>0.37474981381248162</c:v>
                </c:pt>
                <c:pt idx="5">
                  <c:v>0.55026713957445417</c:v>
                </c:pt>
                <c:pt idx="6">
                  <c:v>0.47700631452520925</c:v>
                </c:pt>
                <c:pt idx="7">
                  <c:v>0.35887419176379093</c:v>
                </c:pt>
                <c:pt idx="8">
                  <c:v>0.39569498818614818</c:v>
                </c:pt>
                <c:pt idx="9">
                  <c:v>0.43718738615197855</c:v>
                </c:pt>
                <c:pt idx="10">
                  <c:v>0.4918240656507209</c:v>
                </c:pt>
                <c:pt idx="11">
                  <c:v>0.48762909263276533</c:v>
                </c:pt>
                <c:pt idx="12">
                  <c:v>0.42943111857126121</c:v>
                </c:pt>
                <c:pt idx="13">
                  <c:v>0.41434213753086996</c:v>
                </c:pt>
                <c:pt idx="14">
                  <c:v>0.46155695180475814</c:v>
                </c:pt>
                <c:pt idx="15">
                  <c:v>0.38651531456018168</c:v>
                </c:pt>
                <c:pt idx="16">
                  <c:v>0.3674644418825071</c:v>
                </c:pt>
                <c:pt idx="17">
                  <c:v>0.44871577025006287</c:v>
                </c:pt>
                <c:pt idx="18">
                  <c:v>0.43511695526684913</c:v>
                </c:pt>
                <c:pt idx="19">
                  <c:v>0.43275446917573596</c:v>
                </c:pt>
                <c:pt idx="20">
                  <c:v>0.42801352484801486</c:v>
                </c:pt>
                <c:pt idx="21">
                  <c:v>0.31450797923708274</c:v>
                </c:pt>
                <c:pt idx="22">
                  <c:v>0.32692374135017127</c:v>
                </c:pt>
                <c:pt idx="23">
                  <c:v>0.33229849124518146</c:v>
                </c:pt>
                <c:pt idx="24">
                  <c:v>0.36891681604707677</c:v>
                </c:pt>
                <c:pt idx="25">
                  <c:v>0.37661012944145489</c:v>
                </c:pt>
                <c:pt idx="26">
                  <c:v>0.43427588448407606</c:v>
                </c:pt>
                <c:pt idx="27">
                  <c:v>0.4472525214179367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4-413A-AE9E-DBFD1EA228BF}"/>
            </c:ext>
          </c:extLst>
        </c:ser>
        <c:ser>
          <c:idx val="1"/>
          <c:order val="1"/>
          <c:tx>
            <c:strRef>
              <c:f>historic_votes!$M$5</c:f>
              <c:strCache>
                <c:ptCount val="1"/>
                <c:pt idx="0">
                  <c:v>lib_votes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cat>
            <c:strRef>
              <c:f>historic_votes!$K$6:$K$33</c:f>
              <c:strCache>
                <c:ptCount val="28"/>
                <c:pt idx="0">
                  <c:v>1918</c:v>
                </c:pt>
                <c:pt idx="1">
                  <c:v>1922</c:v>
                </c:pt>
                <c:pt idx="2">
                  <c:v>1923</c:v>
                </c:pt>
                <c:pt idx="3">
                  <c:v>1924</c:v>
                </c:pt>
                <c:pt idx="4">
                  <c:v>1929</c:v>
                </c:pt>
                <c:pt idx="5">
                  <c:v>1931</c:v>
                </c:pt>
                <c:pt idx="6">
                  <c:v>1935</c:v>
                </c:pt>
                <c:pt idx="7">
                  <c:v>1945</c:v>
                </c:pt>
                <c:pt idx="8">
                  <c:v>1950</c:v>
                </c:pt>
                <c:pt idx="9">
                  <c:v>1951</c:v>
                </c:pt>
                <c:pt idx="10">
                  <c:v>1955</c:v>
                </c:pt>
                <c:pt idx="11">
                  <c:v>1959</c:v>
                </c:pt>
                <c:pt idx="12">
                  <c:v>1964</c:v>
                </c:pt>
                <c:pt idx="13">
                  <c:v>1966</c:v>
                </c:pt>
                <c:pt idx="14">
                  <c:v>1970</c:v>
                </c:pt>
                <c:pt idx="15">
                  <c:v>1974F</c:v>
                </c:pt>
                <c:pt idx="16">
                  <c:v>1974O</c:v>
                </c:pt>
                <c:pt idx="17">
                  <c:v>1979</c:v>
                </c:pt>
                <c:pt idx="18">
                  <c:v>1983</c:v>
                </c:pt>
                <c:pt idx="19">
                  <c:v>1987</c:v>
                </c:pt>
                <c:pt idx="20">
                  <c:v>1992</c:v>
                </c:pt>
                <c:pt idx="21">
                  <c:v>1997</c:v>
                </c:pt>
                <c:pt idx="22">
                  <c:v>2001</c:v>
                </c:pt>
                <c:pt idx="23">
                  <c:v>2005</c:v>
                </c:pt>
                <c:pt idx="24">
                  <c:v>2010</c:v>
                </c:pt>
                <c:pt idx="25">
                  <c:v>2015</c:v>
                </c:pt>
                <c:pt idx="26">
                  <c:v>2017</c:v>
                </c:pt>
                <c:pt idx="27">
                  <c:v>2019</c:v>
                </c:pt>
              </c:strCache>
            </c:strRef>
          </c:cat>
          <c:val>
            <c:numRef>
              <c:f>historic_votes!$M$6:$M$33</c:f>
              <c:numCache>
                <c:formatCode>General</c:formatCode>
                <c:ptCount val="28"/>
                <c:pt idx="0">
                  <c:v>0.14408412374565727</c:v>
                </c:pt>
                <c:pt idx="1">
                  <c:v>0.19111638037710738</c:v>
                </c:pt>
                <c:pt idx="2">
                  <c:v>0.29923725060059919</c:v>
                </c:pt>
                <c:pt idx="3">
                  <c:v>0.18169327965163848</c:v>
                </c:pt>
                <c:pt idx="4">
                  <c:v>0.2366659904719722</c:v>
                </c:pt>
                <c:pt idx="5">
                  <c:v>7.0664052420414555E-2</c:v>
                </c:pt>
                <c:pt idx="6">
                  <c:v>6.85175883740336E-2</c:v>
                </c:pt>
                <c:pt idx="7">
                  <c:v>9.194846360273716E-2</c:v>
                </c:pt>
                <c:pt idx="8">
                  <c:v>9.2986065766867382E-2</c:v>
                </c:pt>
                <c:pt idx="9">
                  <c:v>2.5968181614113944E-2</c:v>
                </c:pt>
                <c:pt idx="10">
                  <c:v>2.7663962519264007E-2</c:v>
                </c:pt>
                <c:pt idx="11">
                  <c:v>6.001201994391548E-2</c:v>
                </c:pt>
                <c:pt idx="12">
                  <c:v>0.11405595502376245</c:v>
                </c:pt>
                <c:pt idx="13">
                  <c:v>8.6182604541565011E-2</c:v>
                </c:pt>
                <c:pt idx="14">
                  <c:v>7.635768108028318E-2</c:v>
                </c:pt>
                <c:pt idx="15">
                  <c:v>0.19790775716234332</c:v>
                </c:pt>
                <c:pt idx="16">
                  <c:v>0.18774773119658769</c:v>
                </c:pt>
                <c:pt idx="17">
                  <c:v>0.14131609795059896</c:v>
                </c:pt>
                <c:pt idx="18">
                  <c:v>0.26016847341888061</c:v>
                </c:pt>
                <c:pt idx="19">
                  <c:v>0.23088011879288661</c:v>
                </c:pt>
                <c:pt idx="20">
                  <c:v>0.18361168083415658</c:v>
                </c:pt>
                <c:pt idx="21">
                  <c:v>0.1719251436325635</c:v>
                </c:pt>
                <c:pt idx="22">
                  <c:v>0.18837576024643574</c:v>
                </c:pt>
                <c:pt idx="23">
                  <c:v>0.22645903238267037</c:v>
                </c:pt>
                <c:pt idx="24">
                  <c:v>0.23562111087187573</c:v>
                </c:pt>
                <c:pt idx="25">
                  <c:v>8.0585809826486984E-2</c:v>
                </c:pt>
                <c:pt idx="26">
                  <c:v>7.5556222108937879E-2</c:v>
                </c:pt>
                <c:pt idx="27">
                  <c:v>0.11841775167927676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14-413A-AE9E-DBFD1EA228BF}"/>
            </c:ext>
          </c:extLst>
        </c:ser>
        <c:ser>
          <c:idx val="2"/>
          <c:order val="2"/>
          <c:tx>
            <c:strRef>
              <c:f>historic_votes!$N$5</c:f>
              <c:strCache>
                <c:ptCount val="1"/>
                <c:pt idx="0">
                  <c:v>lab_votes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strRef>
              <c:f>historic_votes!$K$6:$K$33</c:f>
              <c:strCache>
                <c:ptCount val="28"/>
                <c:pt idx="0">
                  <c:v>1918</c:v>
                </c:pt>
                <c:pt idx="1">
                  <c:v>1922</c:v>
                </c:pt>
                <c:pt idx="2">
                  <c:v>1923</c:v>
                </c:pt>
                <c:pt idx="3">
                  <c:v>1924</c:v>
                </c:pt>
                <c:pt idx="4">
                  <c:v>1929</c:v>
                </c:pt>
                <c:pt idx="5">
                  <c:v>1931</c:v>
                </c:pt>
                <c:pt idx="6">
                  <c:v>1935</c:v>
                </c:pt>
                <c:pt idx="7">
                  <c:v>1945</c:v>
                </c:pt>
                <c:pt idx="8">
                  <c:v>1950</c:v>
                </c:pt>
                <c:pt idx="9">
                  <c:v>1951</c:v>
                </c:pt>
                <c:pt idx="10">
                  <c:v>1955</c:v>
                </c:pt>
                <c:pt idx="11">
                  <c:v>1959</c:v>
                </c:pt>
                <c:pt idx="12">
                  <c:v>1964</c:v>
                </c:pt>
                <c:pt idx="13">
                  <c:v>1966</c:v>
                </c:pt>
                <c:pt idx="14">
                  <c:v>1970</c:v>
                </c:pt>
                <c:pt idx="15">
                  <c:v>1974F</c:v>
                </c:pt>
                <c:pt idx="16">
                  <c:v>1974O</c:v>
                </c:pt>
                <c:pt idx="17">
                  <c:v>1979</c:v>
                </c:pt>
                <c:pt idx="18">
                  <c:v>1983</c:v>
                </c:pt>
                <c:pt idx="19">
                  <c:v>1987</c:v>
                </c:pt>
                <c:pt idx="20">
                  <c:v>1992</c:v>
                </c:pt>
                <c:pt idx="21">
                  <c:v>1997</c:v>
                </c:pt>
                <c:pt idx="22">
                  <c:v>2001</c:v>
                </c:pt>
                <c:pt idx="23">
                  <c:v>2005</c:v>
                </c:pt>
                <c:pt idx="24">
                  <c:v>2010</c:v>
                </c:pt>
                <c:pt idx="25">
                  <c:v>2015</c:v>
                </c:pt>
                <c:pt idx="26">
                  <c:v>2017</c:v>
                </c:pt>
                <c:pt idx="27">
                  <c:v>2019</c:v>
                </c:pt>
              </c:strCache>
            </c:strRef>
          </c:cat>
          <c:val>
            <c:numRef>
              <c:f>historic_votes!$N$6:$N$33</c:f>
              <c:numCache>
                <c:formatCode>General</c:formatCode>
                <c:ptCount val="28"/>
                <c:pt idx="0">
                  <c:v>0.23582693975279129</c:v>
                </c:pt>
                <c:pt idx="1">
                  <c:v>0.29925253067314783</c:v>
                </c:pt>
                <c:pt idx="2">
                  <c:v>0.31146561859399491</c:v>
                </c:pt>
                <c:pt idx="3">
                  <c:v>0.34180563866053898</c:v>
                </c:pt>
                <c:pt idx="4">
                  <c:v>0.37812418912206297</c:v>
                </c:pt>
                <c:pt idx="5">
                  <c:v>0.29769043142126672</c:v>
                </c:pt>
                <c:pt idx="6">
                  <c:v>0.38538243607406947</c:v>
                </c:pt>
                <c:pt idx="7">
                  <c:v>0.48851252466524608</c:v>
                </c:pt>
                <c:pt idx="8">
                  <c:v>0.4678353796049714</c:v>
                </c:pt>
                <c:pt idx="9">
                  <c:v>0.48688788932002164</c:v>
                </c:pt>
                <c:pt idx="10">
                  <c:v>0.47368813671167692</c:v>
                </c:pt>
                <c:pt idx="11">
                  <c:v>0.44607852353250899</c:v>
                </c:pt>
                <c:pt idx="12">
                  <c:v>0.4478860340853823</c:v>
                </c:pt>
                <c:pt idx="13">
                  <c:v>0.48722091438762216</c:v>
                </c:pt>
                <c:pt idx="14">
                  <c:v>0.4382722147106019</c:v>
                </c:pt>
                <c:pt idx="15">
                  <c:v>0.38020521357792453</c:v>
                </c:pt>
                <c:pt idx="16">
                  <c:v>0.4023070007185785</c:v>
                </c:pt>
                <c:pt idx="17">
                  <c:v>0.37778721452939146</c:v>
                </c:pt>
                <c:pt idx="18">
                  <c:v>0.28279034910896034</c:v>
                </c:pt>
                <c:pt idx="19">
                  <c:v>0.31539510764284534</c:v>
                </c:pt>
                <c:pt idx="20">
                  <c:v>0.35208199771173826</c:v>
                </c:pt>
                <c:pt idx="21">
                  <c:v>0.44328367292745474</c:v>
                </c:pt>
                <c:pt idx="22">
                  <c:v>0.41964820687741666</c:v>
                </c:pt>
                <c:pt idx="23">
                  <c:v>0.36139791076861028</c:v>
                </c:pt>
                <c:pt idx="24">
                  <c:v>0.29663597579808154</c:v>
                </c:pt>
                <c:pt idx="25">
                  <c:v>0.31178963356931966</c:v>
                </c:pt>
                <c:pt idx="26">
                  <c:v>0.41022928101970946</c:v>
                </c:pt>
                <c:pt idx="27">
                  <c:v>0.32897729702715756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14-413A-AE9E-DBFD1EA228BF}"/>
            </c:ext>
          </c:extLst>
        </c:ser>
        <c:ser>
          <c:idx val="3"/>
          <c:order val="3"/>
          <c:tx>
            <c:strRef>
              <c:f>historic_votes!$O$5</c:f>
              <c:strCache>
                <c:ptCount val="1"/>
                <c:pt idx="0">
                  <c:v>natSW_votes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cat>
            <c:strRef>
              <c:f>historic_votes!$K$6:$K$33</c:f>
              <c:strCache>
                <c:ptCount val="28"/>
                <c:pt idx="0">
                  <c:v>1918</c:v>
                </c:pt>
                <c:pt idx="1">
                  <c:v>1922</c:v>
                </c:pt>
                <c:pt idx="2">
                  <c:v>1923</c:v>
                </c:pt>
                <c:pt idx="3">
                  <c:v>1924</c:v>
                </c:pt>
                <c:pt idx="4">
                  <c:v>1929</c:v>
                </c:pt>
                <c:pt idx="5">
                  <c:v>1931</c:v>
                </c:pt>
                <c:pt idx="6">
                  <c:v>1935</c:v>
                </c:pt>
                <c:pt idx="7">
                  <c:v>1945</c:v>
                </c:pt>
                <c:pt idx="8">
                  <c:v>1950</c:v>
                </c:pt>
                <c:pt idx="9">
                  <c:v>1951</c:v>
                </c:pt>
                <c:pt idx="10">
                  <c:v>1955</c:v>
                </c:pt>
                <c:pt idx="11">
                  <c:v>1959</c:v>
                </c:pt>
                <c:pt idx="12">
                  <c:v>1964</c:v>
                </c:pt>
                <c:pt idx="13">
                  <c:v>1966</c:v>
                </c:pt>
                <c:pt idx="14">
                  <c:v>1970</c:v>
                </c:pt>
                <c:pt idx="15">
                  <c:v>1974F</c:v>
                </c:pt>
                <c:pt idx="16">
                  <c:v>1974O</c:v>
                </c:pt>
                <c:pt idx="17">
                  <c:v>1979</c:v>
                </c:pt>
                <c:pt idx="18">
                  <c:v>1983</c:v>
                </c:pt>
                <c:pt idx="19">
                  <c:v>1987</c:v>
                </c:pt>
                <c:pt idx="20">
                  <c:v>1992</c:v>
                </c:pt>
                <c:pt idx="21">
                  <c:v>1997</c:v>
                </c:pt>
                <c:pt idx="22">
                  <c:v>2001</c:v>
                </c:pt>
                <c:pt idx="23">
                  <c:v>2005</c:v>
                </c:pt>
                <c:pt idx="24">
                  <c:v>2010</c:v>
                </c:pt>
                <c:pt idx="25">
                  <c:v>2015</c:v>
                </c:pt>
                <c:pt idx="26">
                  <c:v>2017</c:v>
                </c:pt>
                <c:pt idx="27">
                  <c:v>2019</c:v>
                </c:pt>
              </c:strCache>
            </c:strRef>
          </c:cat>
          <c:val>
            <c:numRef>
              <c:f>historic_votes!$O$6:$O$33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9.8070769858953359E-4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6.4761739962650112E-4</c:v>
                </c:pt>
                <c:pt idx="10">
                  <c:v>2.1916277072045734E-3</c:v>
                </c:pt>
                <c:pt idx="11">
                  <c:v>3.6395164653404855E-3</c:v>
                </c:pt>
                <c:pt idx="12">
                  <c:v>4.9424522269586671E-3</c:v>
                </c:pt>
                <c:pt idx="13">
                  <c:v>7.1074915049080672E-3</c:v>
                </c:pt>
                <c:pt idx="14">
                  <c:v>1.7479061371016076E-2</c:v>
                </c:pt>
                <c:pt idx="15">
                  <c:v>2.6256928429019586E-2</c:v>
                </c:pt>
                <c:pt idx="16">
                  <c:v>3.5322430491998721E-2</c:v>
                </c:pt>
                <c:pt idx="17">
                  <c:v>2.0860975715783124E-2</c:v>
                </c:pt>
                <c:pt idx="18">
                  <c:v>1.529072930068397E-2</c:v>
                </c:pt>
                <c:pt idx="19">
                  <c:v>1.6984177605403671E-2</c:v>
                </c:pt>
                <c:pt idx="20">
                  <c:v>2.3955826726258796E-2</c:v>
                </c:pt>
                <c:pt idx="21">
                  <c:v>2.5662128361009857E-2</c:v>
                </c:pt>
                <c:pt idx="22">
                  <c:v>2.5832717748778818E-2</c:v>
                </c:pt>
                <c:pt idx="23">
                  <c:v>2.2212129134188342E-2</c:v>
                </c:pt>
                <c:pt idx="24">
                  <c:v>2.2636866479745988E-2</c:v>
                </c:pt>
                <c:pt idx="25">
                  <c:v>5.4575435110123201E-2</c:v>
                </c:pt>
                <c:pt idx="26">
                  <c:v>3.6379777128574889E-2</c:v>
                </c:pt>
                <c:pt idx="27">
                  <c:v>4.47106085761447E-2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14-413A-AE9E-DBFD1EA228BF}"/>
            </c:ext>
          </c:extLst>
        </c:ser>
        <c:ser>
          <c:idx val="4"/>
          <c:order val="4"/>
          <c:tx>
            <c:strRef>
              <c:f>historic_votes!$P$5</c:f>
              <c:strCache>
                <c:ptCount val="1"/>
                <c:pt idx="0">
                  <c:v>oth_votes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cat>
            <c:strRef>
              <c:f>historic_votes!$K$6:$K$33</c:f>
              <c:strCache>
                <c:ptCount val="28"/>
                <c:pt idx="0">
                  <c:v>1918</c:v>
                </c:pt>
                <c:pt idx="1">
                  <c:v>1922</c:v>
                </c:pt>
                <c:pt idx="2">
                  <c:v>1923</c:v>
                </c:pt>
                <c:pt idx="3">
                  <c:v>1924</c:v>
                </c:pt>
                <c:pt idx="4">
                  <c:v>1929</c:v>
                </c:pt>
                <c:pt idx="5">
                  <c:v>1931</c:v>
                </c:pt>
                <c:pt idx="6">
                  <c:v>1935</c:v>
                </c:pt>
                <c:pt idx="7">
                  <c:v>1945</c:v>
                </c:pt>
                <c:pt idx="8">
                  <c:v>1950</c:v>
                </c:pt>
                <c:pt idx="9">
                  <c:v>1951</c:v>
                </c:pt>
                <c:pt idx="10">
                  <c:v>1955</c:v>
                </c:pt>
                <c:pt idx="11">
                  <c:v>1959</c:v>
                </c:pt>
                <c:pt idx="12">
                  <c:v>1964</c:v>
                </c:pt>
                <c:pt idx="13">
                  <c:v>1966</c:v>
                </c:pt>
                <c:pt idx="14">
                  <c:v>1970</c:v>
                </c:pt>
                <c:pt idx="15">
                  <c:v>1974F</c:v>
                </c:pt>
                <c:pt idx="16">
                  <c:v>1974O</c:v>
                </c:pt>
                <c:pt idx="17">
                  <c:v>1979</c:v>
                </c:pt>
                <c:pt idx="18">
                  <c:v>1983</c:v>
                </c:pt>
                <c:pt idx="19">
                  <c:v>1987</c:v>
                </c:pt>
                <c:pt idx="20">
                  <c:v>1992</c:v>
                </c:pt>
                <c:pt idx="21">
                  <c:v>1997</c:v>
                </c:pt>
                <c:pt idx="22">
                  <c:v>2001</c:v>
                </c:pt>
                <c:pt idx="23">
                  <c:v>2005</c:v>
                </c:pt>
                <c:pt idx="24">
                  <c:v>2010</c:v>
                </c:pt>
                <c:pt idx="25">
                  <c:v>2015</c:v>
                </c:pt>
                <c:pt idx="26">
                  <c:v>2017</c:v>
                </c:pt>
                <c:pt idx="27">
                  <c:v>2019</c:v>
                </c:pt>
              </c:strCache>
            </c:strRef>
          </c:cat>
          <c:val>
            <c:numRef>
              <c:f>historic_votes!$P$6:$P$33</c:f>
              <c:numCache>
                <c:formatCode>General</c:formatCode>
                <c:ptCount val="28"/>
                <c:pt idx="0">
                  <c:v>0.22064086366854038</c:v>
                </c:pt>
                <c:pt idx="1">
                  <c:v>0.12468996035629601</c:v>
                </c:pt>
                <c:pt idx="2">
                  <c:v>1.0442585382481983E-2</c:v>
                </c:pt>
                <c:pt idx="3">
                  <c:v>1.7691125339069941E-2</c:v>
                </c:pt>
                <c:pt idx="4">
                  <c:v>9.7623327734254074E-3</c:v>
                </c:pt>
                <c:pt idx="5">
                  <c:v>8.0226878045256453E-2</c:v>
                </c:pt>
                <c:pt idx="6">
                  <c:v>6.9054584735967997E-2</c:v>
                </c:pt>
                <c:pt idx="7">
                  <c:v>6.0664692025391362E-2</c:v>
                </c:pt>
                <c:pt idx="8">
                  <c:v>4.3483566442013052E-2</c:v>
                </c:pt>
                <c:pt idx="9">
                  <c:v>4.9308925514259368E-2</c:v>
                </c:pt>
                <c:pt idx="10">
                  <c:v>4.6322074111335961E-3</c:v>
                </c:pt>
                <c:pt idx="11">
                  <c:v>2.6408474254696959E-3</c:v>
                </c:pt>
                <c:pt idx="12">
                  <c:v>3.6844400926354052E-3</c:v>
                </c:pt>
                <c:pt idx="13">
                  <c:v>5.1468520350348018E-3</c:v>
                </c:pt>
                <c:pt idx="14">
                  <c:v>6.3340910333406992E-3</c:v>
                </c:pt>
                <c:pt idx="15">
                  <c:v>9.1147862705308613E-3</c:v>
                </c:pt>
                <c:pt idx="16">
                  <c:v>7.4616425726570495E-3</c:v>
                </c:pt>
                <c:pt idx="17">
                  <c:v>1.1319941554163541E-2</c:v>
                </c:pt>
                <c:pt idx="18">
                  <c:v>6.6334929046259804E-3</c:v>
                </c:pt>
                <c:pt idx="19">
                  <c:v>4.0005928574638515E-3</c:v>
                </c:pt>
                <c:pt idx="20">
                  <c:v>1.2336969879831529E-2</c:v>
                </c:pt>
                <c:pt idx="21">
                  <c:v>4.462107584188918E-2</c:v>
                </c:pt>
                <c:pt idx="22">
                  <c:v>3.9219573777197481E-2</c:v>
                </c:pt>
                <c:pt idx="23">
                  <c:v>5.7632436469349527E-2</c:v>
                </c:pt>
                <c:pt idx="24">
                  <c:v>7.6189230803219973E-2</c:v>
                </c:pt>
                <c:pt idx="25">
                  <c:v>0.17643899205261529</c:v>
                </c:pt>
                <c:pt idx="26">
                  <c:v>4.3558835258701731E-2</c:v>
                </c:pt>
                <c:pt idx="27">
                  <c:v>6.0641821299484304E-2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14-413A-AE9E-DBFD1EA22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699135"/>
        <c:axId val="530680895"/>
      </c:areaChart>
      <c:catAx>
        <c:axId val="5306991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680895"/>
        <c:crosses val="autoZero"/>
        <c:auto val="1"/>
        <c:lblAlgn val="ctr"/>
        <c:lblOffset val="100"/>
        <c:noMultiLvlLbl val="0"/>
      </c:catAx>
      <c:valAx>
        <c:axId val="53068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699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historic_votes!$J$60:$J$67</c:f>
              <c:numCache>
                <c:formatCode>0.0%</c:formatCode>
                <c:ptCount val="8"/>
                <c:pt idx="0">
                  <c:v>4.7767372809118499E-3</c:v>
                </c:pt>
                <c:pt idx="1">
                  <c:v>5.28044740470421E-3</c:v>
                </c:pt>
                <c:pt idx="2">
                  <c:v>7.6649423256062599E-3</c:v>
                </c:pt>
                <c:pt idx="3">
                  <c:v>6.6147013456932299E-3</c:v>
                </c:pt>
                <c:pt idx="4">
                  <c:v>5.7005418778755604E-3</c:v>
                </c:pt>
                <c:pt idx="5">
                  <c:v>6.0609574127213003E-3</c:v>
                </c:pt>
                <c:pt idx="6">
                  <c:v>5.2391053376941504E-3</c:v>
                </c:pt>
                <c:pt idx="7">
                  <c:v>4.9099673795433797E-3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4D-4A36-B133-AB2159A9D9A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historic_votes!$V$60:$V$67</c:f>
              <c:numCache>
                <c:formatCode>0.0%</c:formatCode>
                <c:ptCount val="8"/>
                <c:pt idx="0">
                  <c:v>8.8979931845936406E-3</c:v>
                </c:pt>
                <c:pt idx="1">
                  <c:v>8.7182280825561977E-3</c:v>
                </c:pt>
                <c:pt idx="2">
                  <c:v>1.75329756352944E-2</c:v>
                </c:pt>
                <c:pt idx="3">
                  <c:v>1.42162093202375E-2</c:v>
                </c:pt>
                <c:pt idx="4">
                  <c:v>9.3458903064113658E-3</c:v>
                </c:pt>
                <c:pt idx="5">
                  <c:v>9.0497901950943021E-3</c:v>
                </c:pt>
                <c:pt idx="6">
                  <c:v>8.1845905061793435E-3</c:v>
                </c:pt>
                <c:pt idx="7">
                  <c:v>9.6151040716072299E-3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4D-4A36-B133-AB2159A9D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0651135"/>
        <c:axId val="530651615"/>
      </c:lineChart>
      <c:catAx>
        <c:axId val="5306511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651615"/>
        <c:crosses val="autoZero"/>
        <c:auto val="1"/>
        <c:lblAlgn val="ctr"/>
        <c:lblOffset val="100"/>
        <c:noMultiLvlLbl val="0"/>
      </c:catAx>
      <c:valAx>
        <c:axId val="53065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65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manual_extract!$Z$20</c:f>
              <c:strCache>
                <c:ptCount val="1"/>
                <c:pt idx="0">
                  <c:v>Other Right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manual_extract!$Y$21:$Y$29</c:f>
              <c:numCache>
                <c:formatCode>General</c:formatCode>
                <c:ptCount val="9"/>
                <c:pt idx="0">
                  <c:v>1992</c:v>
                </c:pt>
                <c:pt idx="1">
                  <c:v>1997</c:v>
                </c:pt>
                <c:pt idx="2">
                  <c:v>2001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2017</c:v>
                </c:pt>
                <c:pt idx="7">
                  <c:v>2019</c:v>
                </c:pt>
                <c:pt idx="8">
                  <c:v>2024</c:v>
                </c:pt>
              </c:numCache>
            </c:numRef>
          </c:cat>
          <c:val>
            <c:numRef>
              <c:f>manual_extract!$Z$21:$Z$29</c:f>
              <c:numCache>
                <c:formatCode>0.0%</c:formatCode>
                <c:ptCount val="9"/>
                <c:pt idx="0">
                  <c:v>1.6801197086053995E-3</c:v>
                </c:pt>
                <c:pt idx="1">
                  <c:v>2.4795777524738096E-3</c:v>
                </c:pt>
                <c:pt idx="2">
                  <c:v>4.347664229347477E-3</c:v>
                </c:pt>
                <c:pt idx="3">
                  <c:v>1.1214166092779483E-2</c:v>
                </c:pt>
                <c:pt idx="4">
                  <c:v>2.3446645720395655E-2</c:v>
                </c:pt>
                <c:pt idx="5">
                  <c:v>1.65266588832043E-3</c:v>
                </c:pt>
                <c:pt idx="6">
                  <c:v>2.7502825902641186E-3</c:v>
                </c:pt>
                <c:pt idx="7">
                  <c:v>4.5198111364460128E-3</c:v>
                </c:pt>
                <c:pt idx="8">
                  <c:v>1.0475893877665442E-2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7E-461C-A1F0-1DED69A57052}"/>
            </c:ext>
          </c:extLst>
        </c:ser>
        <c:ser>
          <c:idx val="1"/>
          <c:order val="1"/>
          <c:tx>
            <c:strRef>
              <c:f>manual_extract!$AA$20</c:f>
              <c:strCache>
                <c:ptCount val="1"/>
                <c:pt idx="0">
                  <c:v>Reform_UKIP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cat>
            <c:numRef>
              <c:f>manual_extract!$Y$21:$Y$29</c:f>
              <c:numCache>
                <c:formatCode>General</c:formatCode>
                <c:ptCount val="9"/>
                <c:pt idx="0">
                  <c:v>1992</c:v>
                </c:pt>
                <c:pt idx="1">
                  <c:v>1997</c:v>
                </c:pt>
                <c:pt idx="2">
                  <c:v>2001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2017</c:v>
                </c:pt>
                <c:pt idx="7">
                  <c:v>2019</c:v>
                </c:pt>
                <c:pt idx="8">
                  <c:v>2024</c:v>
                </c:pt>
              </c:numCache>
            </c:numRef>
          </c:cat>
          <c:val>
            <c:numRef>
              <c:f>manual_extract!$AA$21:$AA$29</c:f>
              <c:numCache>
                <c:formatCode>0.0%</c:formatCode>
                <c:ptCount val="9"/>
                <c:pt idx="0">
                  <c:v>0</c:v>
                </c:pt>
                <c:pt idx="1">
                  <c:v>2.6873893211156633E-2</c:v>
                </c:pt>
                <c:pt idx="2">
                  <c:v>1.5320955187687909E-2</c:v>
                </c:pt>
                <c:pt idx="3">
                  <c:v>2.3069941165602466E-2</c:v>
                </c:pt>
                <c:pt idx="4">
                  <c:v>3.1936053570145416E-2</c:v>
                </c:pt>
                <c:pt idx="5">
                  <c:v>0.12995836181366885</c:v>
                </c:pt>
                <c:pt idx="6">
                  <c:v>1.8951045100685203E-2</c:v>
                </c:pt>
                <c:pt idx="7">
                  <c:v>2.0701760361532193E-2</c:v>
                </c:pt>
                <c:pt idx="8">
                  <c:v>0.14836793006880072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7E-461C-A1F0-1DED69A57052}"/>
            </c:ext>
          </c:extLst>
        </c:ser>
        <c:ser>
          <c:idx val="2"/>
          <c:order val="2"/>
          <c:tx>
            <c:strRef>
              <c:f>manual_extract!$AB$20</c:f>
              <c:strCache>
                <c:ptCount val="1"/>
                <c:pt idx="0">
                  <c:v>Conservative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cat>
            <c:numRef>
              <c:f>manual_extract!$Y$21:$Y$29</c:f>
              <c:numCache>
                <c:formatCode>General</c:formatCode>
                <c:ptCount val="9"/>
                <c:pt idx="0">
                  <c:v>1992</c:v>
                </c:pt>
                <c:pt idx="1">
                  <c:v>1997</c:v>
                </c:pt>
                <c:pt idx="2">
                  <c:v>2001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2017</c:v>
                </c:pt>
                <c:pt idx="7">
                  <c:v>2019</c:v>
                </c:pt>
                <c:pt idx="8">
                  <c:v>2024</c:v>
                </c:pt>
              </c:numCache>
            </c:numRef>
          </c:cat>
          <c:val>
            <c:numRef>
              <c:f>manual_extract!$AB$21:$AB$29</c:f>
              <c:numCache>
                <c:formatCode>0.0%</c:formatCode>
                <c:ptCount val="9"/>
                <c:pt idx="0">
                  <c:v>0.42937084436936895</c:v>
                </c:pt>
                <c:pt idx="1">
                  <c:v>0.3174848944435803</c:v>
                </c:pt>
                <c:pt idx="2">
                  <c:v>0.32785144750257522</c:v>
                </c:pt>
                <c:pt idx="3">
                  <c:v>0.33444967382180157</c:v>
                </c:pt>
                <c:pt idx="4">
                  <c:v>0.37174394880262462</c:v>
                </c:pt>
                <c:pt idx="5">
                  <c:v>0.37952586197514998</c:v>
                </c:pt>
                <c:pt idx="6">
                  <c:v>0.43611070686133691</c:v>
                </c:pt>
                <c:pt idx="7">
                  <c:v>0.44878081853726504</c:v>
                </c:pt>
                <c:pt idx="8">
                  <c:v>0.24606288750420993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7E-461C-A1F0-1DED69A57052}"/>
            </c:ext>
          </c:extLst>
        </c:ser>
        <c:ser>
          <c:idx val="3"/>
          <c:order val="3"/>
          <c:tx>
            <c:strRef>
              <c:f>manual_extract!$AC$20</c:f>
              <c:strCache>
                <c:ptCount val="1"/>
                <c:pt idx="0">
                  <c:v>Liberal Democrats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cat>
            <c:numRef>
              <c:f>manual_extract!$Y$21:$Y$29</c:f>
              <c:numCache>
                <c:formatCode>General</c:formatCode>
                <c:ptCount val="9"/>
                <c:pt idx="0">
                  <c:v>1992</c:v>
                </c:pt>
                <c:pt idx="1">
                  <c:v>1997</c:v>
                </c:pt>
                <c:pt idx="2">
                  <c:v>2001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2017</c:v>
                </c:pt>
                <c:pt idx="7">
                  <c:v>2019</c:v>
                </c:pt>
                <c:pt idx="8">
                  <c:v>2024</c:v>
                </c:pt>
              </c:numCache>
            </c:numRef>
          </c:cat>
          <c:val>
            <c:numRef>
              <c:f>manual_extract!$AC$21:$AC$29</c:f>
              <c:numCache>
                <c:formatCode>0.0%</c:formatCode>
                <c:ptCount val="9"/>
                <c:pt idx="0">
                  <c:v>0.18361097603469936</c:v>
                </c:pt>
                <c:pt idx="1">
                  <c:v>0.17355246824194406</c:v>
                </c:pt>
                <c:pt idx="2">
                  <c:v>0.18885556568375611</c:v>
                </c:pt>
                <c:pt idx="3">
                  <c:v>0.22787165703656753</c:v>
                </c:pt>
                <c:pt idx="4">
                  <c:v>0.23744454058160858</c:v>
                </c:pt>
                <c:pt idx="5">
                  <c:v>8.0896798983852658E-2</c:v>
                </c:pt>
                <c:pt idx="6">
                  <c:v>7.5663467454157279E-2</c:v>
                </c:pt>
                <c:pt idx="7">
                  <c:v>0.11877617213909118</c:v>
                </c:pt>
                <c:pt idx="8">
                  <c:v>0.12680333846399366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7E-461C-A1F0-1DED69A57052}"/>
            </c:ext>
          </c:extLst>
        </c:ser>
        <c:ser>
          <c:idx val="4"/>
          <c:order val="4"/>
          <c:tx>
            <c:strRef>
              <c:f>manual_extract!$AD$20</c:f>
              <c:strCache>
                <c:ptCount val="1"/>
                <c:pt idx="0">
                  <c:v>Labour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cat>
            <c:numRef>
              <c:f>manual_extract!$Y$21:$Y$29</c:f>
              <c:numCache>
                <c:formatCode>General</c:formatCode>
                <c:ptCount val="9"/>
                <c:pt idx="0">
                  <c:v>1992</c:v>
                </c:pt>
                <c:pt idx="1">
                  <c:v>1997</c:v>
                </c:pt>
                <c:pt idx="2">
                  <c:v>2001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2017</c:v>
                </c:pt>
                <c:pt idx="7">
                  <c:v>2019</c:v>
                </c:pt>
                <c:pt idx="8">
                  <c:v>2024</c:v>
                </c:pt>
              </c:numCache>
            </c:numRef>
          </c:cat>
          <c:val>
            <c:numRef>
              <c:f>manual_extract!$AD$21:$AD$29</c:f>
              <c:numCache>
                <c:formatCode>0.0%</c:formatCode>
                <c:ptCount val="9"/>
                <c:pt idx="0">
                  <c:v>0.35208064623344582</c:v>
                </c:pt>
                <c:pt idx="1">
                  <c:v>0.44827291370065103</c:v>
                </c:pt>
                <c:pt idx="2">
                  <c:v>0.42134680345216252</c:v>
                </c:pt>
                <c:pt idx="3">
                  <c:v>0.36366989372163933</c:v>
                </c:pt>
                <c:pt idx="4">
                  <c:v>0.29980487509078052</c:v>
                </c:pt>
                <c:pt idx="5">
                  <c:v>0.31299286271881693</c:v>
                </c:pt>
                <c:pt idx="6">
                  <c:v>0.41081156504125083</c:v>
                </c:pt>
                <c:pt idx="7">
                  <c:v>0.33083518203855417</c:v>
                </c:pt>
                <c:pt idx="8">
                  <c:v>0.35073819496819109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7E-461C-A1F0-1DED69A57052}"/>
            </c:ext>
          </c:extLst>
        </c:ser>
        <c:ser>
          <c:idx val="5"/>
          <c:order val="5"/>
          <c:tx>
            <c:strRef>
              <c:f>manual_extract!$AE$20</c:f>
              <c:strCache>
                <c:ptCount val="1"/>
                <c:pt idx="0">
                  <c:v>Green Party of England and Wales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manual_extract!$Y$21:$Y$29</c:f>
              <c:numCache>
                <c:formatCode>General</c:formatCode>
                <c:ptCount val="9"/>
                <c:pt idx="0">
                  <c:v>1992</c:v>
                </c:pt>
                <c:pt idx="1">
                  <c:v>1997</c:v>
                </c:pt>
                <c:pt idx="2">
                  <c:v>2001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2017</c:v>
                </c:pt>
                <c:pt idx="7">
                  <c:v>2019</c:v>
                </c:pt>
                <c:pt idx="8">
                  <c:v>2024</c:v>
                </c:pt>
              </c:numCache>
            </c:numRef>
          </c:cat>
          <c:val>
            <c:numRef>
              <c:f>manual_extract!$AE$21:$AE$29</c:f>
              <c:numCache>
                <c:formatCode>0.0%</c:formatCode>
                <c:ptCount val="9"/>
                <c:pt idx="0">
                  <c:v>5.180404643503579E-3</c:v>
                </c:pt>
                <c:pt idx="1">
                  <c:v>2.0434247031380346E-3</c:v>
                </c:pt>
                <c:pt idx="2">
                  <c:v>6.5305383684084771E-3</c:v>
                </c:pt>
                <c:pt idx="3">
                  <c:v>9.8130806074913576E-3</c:v>
                </c:pt>
                <c:pt idx="4">
                  <c:v>9.2120920555582436E-3</c:v>
                </c:pt>
                <c:pt idx="5">
                  <c:v>3.722195823068665E-2</c:v>
                </c:pt>
                <c:pt idx="6">
                  <c:v>1.634346923803125E-2</c:v>
                </c:pt>
                <c:pt idx="7">
                  <c:v>2.6850044086156946E-2</c:v>
                </c:pt>
                <c:pt idx="8">
                  <c:v>6.6367734268476253E-2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7E-461C-A1F0-1DED69A57052}"/>
            </c:ext>
          </c:extLst>
        </c:ser>
        <c:ser>
          <c:idx val="6"/>
          <c:order val="6"/>
          <c:tx>
            <c:strRef>
              <c:f>manual_extract!$AF$20</c:f>
              <c:strCache>
                <c:ptCount val="1"/>
                <c:pt idx="0">
                  <c:v>Scottish National Party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cat>
            <c:numRef>
              <c:f>manual_extract!$Y$21:$Y$29</c:f>
              <c:numCache>
                <c:formatCode>General</c:formatCode>
                <c:ptCount val="9"/>
                <c:pt idx="0">
                  <c:v>1992</c:v>
                </c:pt>
                <c:pt idx="1">
                  <c:v>1997</c:v>
                </c:pt>
                <c:pt idx="2">
                  <c:v>2001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2017</c:v>
                </c:pt>
                <c:pt idx="7">
                  <c:v>2019</c:v>
                </c:pt>
                <c:pt idx="8">
                  <c:v>2024</c:v>
                </c:pt>
              </c:numCache>
            </c:numRef>
          </c:cat>
          <c:val>
            <c:numRef>
              <c:f>manual_extract!$AF$21:$AF$29</c:f>
              <c:numCache>
                <c:formatCode>0.0%</c:formatCode>
                <c:ptCount val="9"/>
                <c:pt idx="0">
                  <c:v>1.9179015825783255E-2</c:v>
                </c:pt>
                <c:pt idx="1">
                  <c:v>2.0574599864499932E-2</c:v>
                </c:pt>
                <c:pt idx="2">
                  <c:v>1.8214049940767876E-2</c:v>
                </c:pt>
                <c:pt idx="3">
                  <c:v>1.5695378233880768E-2</c:v>
                </c:pt>
                <c:pt idx="4">
                  <c:v>1.7065953872475628E-2</c:v>
                </c:pt>
                <c:pt idx="5">
                  <c:v>4.8701700194410204E-2</c:v>
                </c:pt>
                <c:pt idx="6">
                  <c:v>3.1184873208095088E-2</c:v>
                </c:pt>
                <c:pt idx="7">
                  <c:v>3.9921107629347245E-2</c:v>
                </c:pt>
                <c:pt idx="8">
                  <c:v>2.6114805217772371E-2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7E-461C-A1F0-1DED69A57052}"/>
            </c:ext>
          </c:extLst>
        </c:ser>
        <c:ser>
          <c:idx val="7"/>
          <c:order val="7"/>
          <c:tx>
            <c:strRef>
              <c:f>manual_extract!$AG$20</c:f>
              <c:strCache>
                <c:ptCount val="1"/>
                <c:pt idx="0">
                  <c:v>Other Left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manual_extract!$Y$21:$Y$29</c:f>
              <c:numCache>
                <c:formatCode>General</c:formatCode>
                <c:ptCount val="9"/>
                <c:pt idx="0">
                  <c:v>1992</c:v>
                </c:pt>
                <c:pt idx="1">
                  <c:v>1997</c:v>
                </c:pt>
                <c:pt idx="2">
                  <c:v>2001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2017</c:v>
                </c:pt>
                <c:pt idx="7">
                  <c:v>2019</c:v>
                </c:pt>
                <c:pt idx="8">
                  <c:v>2024</c:v>
                </c:pt>
              </c:numCache>
            </c:numRef>
          </c:cat>
          <c:val>
            <c:numRef>
              <c:f>manual_extract!$AG$21:$AG$29</c:f>
              <c:numCache>
                <c:formatCode>0.0%</c:formatCode>
                <c:ptCount val="9"/>
                <c:pt idx="0">
                  <c:v>8.8979931845936406E-3</c:v>
                </c:pt>
                <c:pt idx="1">
                  <c:v>8.7182280825561977E-3</c:v>
                </c:pt>
                <c:pt idx="2">
                  <c:v>1.75329756352944E-2</c:v>
                </c:pt>
                <c:pt idx="3">
                  <c:v>1.42162093202375E-2</c:v>
                </c:pt>
                <c:pt idx="4">
                  <c:v>9.3458903064113658E-3</c:v>
                </c:pt>
                <c:pt idx="5">
                  <c:v>9.0497901950943021E-3</c:v>
                </c:pt>
                <c:pt idx="6">
                  <c:v>8.1845905061793435E-3</c:v>
                </c:pt>
                <c:pt idx="7">
                  <c:v>9.6151040716072299E-3</c:v>
                </c:pt>
                <c:pt idx="8">
                  <c:v>2.5069215630890516E-2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37E-461C-A1F0-1DED69A57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8369743"/>
        <c:axId val="838349103"/>
      </c:areaChart>
      <c:catAx>
        <c:axId val="83836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349103"/>
        <c:crosses val="autoZero"/>
        <c:auto val="1"/>
        <c:lblAlgn val="ctr"/>
        <c:lblOffset val="100"/>
        <c:noMultiLvlLbl val="0"/>
      </c:catAx>
      <c:valAx>
        <c:axId val="83834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369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159543</xdr:colOff>
      <xdr:row>10</xdr:row>
      <xdr:rowOff>180974</xdr:rowOff>
    </xdr:from>
    <xdr:to>
      <xdr:col>19</xdr:col>
      <xdr:colOff>523875</xdr:colOff>
      <xdr:row>37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091BB9-0D83-594A-7D72-7CFDEF748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0.0842</cdr:x>
      <cdr:y>0.54432</cdr:y>
    </cdr:from>
    <cdr:to>
      <cdr:x>0.99462</cdr:x>
      <cdr:y>0.54432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57B5410B-CC1F-EB88-679A-7ACBF1377944}"/>
            </a:ext>
          </a:extLst>
        </cdr:cNvPr>
        <cdr:cNvCxnSpPr/>
      </cdr:nvCxnSpPr>
      <cdr:spPr>
        <a:xfrm xmlns:a="http://schemas.openxmlformats.org/drawingml/2006/main">
          <a:off x="522046" y="2578756"/>
          <a:ext cx="5644669" cy="0"/>
        </a:xfrm>
        <a:prstGeom xmlns:a="http://schemas.openxmlformats.org/drawingml/2006/main" prst="line">
          <a:avLst/>
        </a:prstGeom>
        <a:ln xmlns:a="http://schemas.openxmlformats.org/drawingml/2006/main" w="9525">
          <a:prstDash val="lg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0.0842</cdr:x>
      <cdr:y>0.39679</cdr:y>
    </cdr:from>
    <cdr:to>
      <cdr:x>0.99462</cdr:x>
      <cdr:y>0.39679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D3E1E9C3-88E2-12F5-EBAF-1B9386527EBF}"/>
            </a:ext>
          </a:extLst>
        </cdr:cNvPr>
        <cdr:cNvCxnSpPr/>
      </cdr:nvCxnSpPr>
      <cdr:spPr>
        <a:xfrm xmlns:a="http://schemas.openxmlformats.org/drawingml/2006/main">
          <a:off x="522046" y="1879790"/>
          <a:ext cx="5644668" cy="0"/>
        </a:xfrm>
        <a:prstGeom xmlns:a="http://schemas.openxmlformats.org/drawingml/2006/main" prst="line">
          <a:avLst/>
        </a:prstGeom>
        <a:ln xmlns:a="http://schemas.openxmlformats.org/drawingml/2006/main" w="9525">
          <a:prstDash val="lg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0.0842</cdr:x>
      <cdr:y>0.4707</cdr:y>
    </cdr:from>
    <cdr:to>
      <cdr:x>0.99462</cdr:x>
      <cdr:y>0.4707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6833DE43-7BCE-9474-8D9A-18F9F28E964D}"/>
            </a:ext>
          </a:extLst>
        </cdr:cNvPr>
        <cdr:cNvCxnSpPr/>
      </cdr:nvCxnSpPr>
      <cdr:spPr>
        <a:xfrm xmlns:a="http://schemas.openxmlformats.org/drawingml/2006/main">
          <a:off x="522046" y="2229953"/>
          <a:ext cx="5644669" cy="0"/>
        </a:xfrm>
        <a:prstGeom xmlns:a="http://schemas.openxmlformats.org/drawingml/2006/main" prst="line">
          <a:avLst/>
        </a:prstGeom>
        <a:ln xmlns:a="http://schemas.openxmlformats.org/drawingml/2006/main" w="9525">
          <a:prstDash val="lg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16668</xdr:colOff>
      <xdr:row>5</xdr:row>
      <xdr:rowOff>95249</xdr:rowOff>
    </xdr:from>
    <xdr:to>
      <xdr:col>24</xdr:col>
      <xdr:colOff>304800</xdr:colOff>
      <xdr:row>27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0CC756-D2ED-C7D1-AD7C-E62EDD23E3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316706</xdr:colOff>
      <xdr:row>73</xdr:row>
      <xdr:rowOff>104774</xdr:rowOff>
    </xdr:from>
    <xdr:to>
      <xdr:col>10</xdr:col>
      <xdr:colOff>435768</xdr:colOff>
      <xdr:row>88</xdr:row>
      <xdr:rowOff>133349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AB4745-4032-9FB6-FA7D-CA5F5954DA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354804</xdr:colOff>
      <xdr:row>32</xdr:row>
      <xdr:rowOff>42863</xdr:rowOff>
    </xdr:from>
    <xdr:to>
      <xdr:col>31</xdr:col>
      <xdr:colOff>392904</xdr:colOff>
      <xdr:row>56</xdr:row>
      <xdr:rowOff>176213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5612B7-43FD-54D1-8860-20369991A9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0525-A377-49F4-8F61-EF50877EF40F}">
  <dimension ref="B3:X32"/>
  <sheetViews>
    <sheetView tabSelected="1" topLeftCell="G5" zoomScale="131" workbookViewId="0">
      <selection activeCell="Q4" sqref="Q4:X32"/>
    </sheetView>
  </sheetViews>
  <sheetFormatPr defaultRowHeight="14.25" x14ac:dyDescent="0.45"/>
  <sheetData>
    <row r="3" spans="3:24" x14ac:dyDescent="0.45">
      <c r="D3" t="s">
        <v>148</v>
      </c>
      <c r="E3" t="s">
        <v>238</v>
      </c>
      <c r="F3" t="s">
        <v>15</v>
      </c>
      <c r="G3" t="s">
        <v>20</v>
      </c>
      <c r="H3" t="s">
        <v>8</v>
      </c>
      <c r="I3" t="s">
        <v>142</v>
      </c>
      <c r="J3" t="s">
        <v>683</v>
      </c>
      <c r="K3" t="s">
        <v>149</v>
      </c>
      <c r="L3" t="s">
        <v>684</v>
      </c>
      <c r="Q3" t="s">
        <v>148</v>
      </c>
      <c r="R3" t="s">
        <v>238</v>
      </c>
      <c r="S3" t="s">
        <v>15</v>
      </c>
      <c r="T3" t="s">
        <v>20</v>
      </c>
      <c r="U3" t="s">
        <v>8</v>
      </c>
      <c r="V3" t="s">
        <v>142</v>
      </c>
      <c r="W3" t="s">
        <v>683</v>
      </c>
      <c r="X3" t="s">
        <v>149</v>
      </c>
    </row>
    <row r="4" spans="3:24" x14ac:dyDescent="0.45">
      <c r="C4">
        <v>1918</v>
      </c>
      <c r="D4" s="10">
        <v>0</v>
      </c>
      <c r="E4" s="10">
        <v>0</v>
      </c>
      <c r="F4" s="10">
        <v>0.40315174431220502</v>
      </c>
      <c r="G4" s="10">
        <v>0.290422589166002</v>
      </c>
      <c r="H4" s="10">
        <v>0.26422253601013201</v>
      </c>
      <c r="I4" s="10">
        <v>0</v>
      </c>
      <c r="J4" s="10">
        <v>0</v>
      </c>
      <c r="K4" s="10">
        <v>0</v>
      </c>
      <c r="L4" s="10">
        <v>4.2099300510326003E-2</v>
      </c>
      <c r="P4">
        <v>1918</v>
      </c>
      <c r="Q4" s="10">
        <f>D4+0.5*L4</f>
        <v>2.1049650255163001E-2</v>
      </c>
      <c r="R4" s="10">
        <v>0</v>
      </c>
      <c r="S4" s="10">
        <v>0.40315174431220502</v>
      </c>
      <c r="T4" s="10">
        <v>0.290422589166002</v>
      </c>
      <c r="U4" s="10">
        <v>0.26422253601013201</v>
      </c>
      <c r="V4" s="10">
        <v>0</v>
      </c>
      <c r="W4" s="10">
        <v>0</v>
      </c>
      <c r="X4" s="10">
        <f>K4+0.5*L4</f>
        <v>2.1049650255163001E-2</v>
      </c>
    </row>
    <row r="5" spans="3:24" x14ac:dyDescent="0.45">
      <c r="C5">
        <v>1922</v>
      </c>
      <c r="D5" s="10">
        <v>0</v>
      </c>
      <c r="E5" s="10">
        <v>0</v>
      </c>
      <c r="F5" s="10">
        <v>0.39084246534922001</v>
      </c>
      <c r="G5" s="10">
        <v>0.29067601402544802</v>
      </c>
      <c r="H5" s="10">
        <v>0.29966919186555802</v>
      </c>
      <c r="I5" s="10">
        <v>0</v>
      </c>
      <c r="J5" s="10">
        <v>0</v>
      </c>
      <c r="K5" s="10">
        <v>9.3407935235597099E-4</v>
      </c>
      <c r="L5" s="10">
        <v>1.7751182279155099E-2</v>
      </c>
      <c r="P5">
        <v>1922</v>
      </c>
      <c r="Q5" s="10">
        <f t="shared" ref="Q5:Q32" si="0">D5+0.5*L5</f>
        <v>8.8755911395775496E-3</v>
      </c>
      <c r="R5" s="10">
        <v>0</v>
      </c>
      <c r="S5" s="10">
        <v>0.39084246534922001</v>
      </c>
      <c r="T5" s="10">
        <v>0.29067601402544802</v>
      </c>
      <c r="U5" s="10">
        <v>0.29966919186555802</v>
      </c>
      <c r="V5" s="10">
        <v>0</v>
      </c>
      <c r="W5" s="10">
        <v>0</v>
      </c>
      <c r="X5" s="10">
        <f t="shared" ref="X5:X32" si="1">K5+0.5*L5</f>
        <v>9.8096704919335212E-3</v>
      </c>
    </row>
    <row r="6" spans="3:24" x14ac:dyDescent="0.45">
      <c r="C6">
        <v>1923</v>
      </c>
      <c r="D6" s="10">
        <v>0</v>
      </c>
      <c r="E6" s="10">
        <v>0</v>
      </c>
      <c r="F6" s="10">
        <v>0.37836710042676303</v>
      </c>
      <c r="G6" s="10">
        <v>0.29943523178884901</v>
      </c>
      <c r="H6" s="10">
        <v>0.31198230337252097</v>
      </c>
      <c r="I6" s="10">
        <v>0</v>
      </c>
      <c r="J6" s="10">
        <v>0</v>
      </c>
      <c r="K6" s="10">
        <v>1.7496156736162001E-3</v>
      </c>
      <c r="L6" s="10">
        <v>8.4473722534691102E-3</v>
      </c>
      <c r="P6">
        <v>1923</v>
      </c>
      <c r="Q6" s="10">
        <f t="shared" si="0"/>
        <v>4.2236861267345551E-3</v>
      </c>
      <c r="R6" s="10">
        <v>0</v>
      </c>
      <c r="S6" s="10">
        <v>0.37836710042676303</v>
      </c>
      <c r="T6" s="10">
        <v>0.29943523178884901</v>
      </c>
      <c r="U6" s="10">
        <v>0.31198230337252097</v>
      </c>
      <c r="V6" s="10">
        <v>0</v>
      </c>
      <c r="W6" s="10">
        <v>0</v>
      </c>
      <c r="X6" s="10">
        <f t="shared" si="1"/>
        <v>5.9733018003507547E-3</v>
      </c>
    </row>
    <row r="7" spans="3:24" x14ac:dyDescent="0.45">
      <c r="C7">
        <v>1924</v>
      </c>
      <c r="D7" s="10">
        <v>1.19367561859421E-2</v>
      </c>
      <c r="E7" s="10">
        <v>0</v>
      </c>
      <c r="F7" s="10">
        <v>0.45839504339058401</v>
      </c>
      <c r="G7" s="10">
        <v>0.18173776596166699</v>
      </c>
      <c r="H7" s="10">
        <v>0.342696191866804</v>
      </c>
      <c r="I7" s="10">
        <v>0</v>
      </c>
      <c r="J7" s="10">
        <v>0</v>
      </c>
      <c r="K7" s="10">
        <v>2.9280284064806201E-3</v>
      </c>
      <c r="L7" s="10">
        <v>2.3007964523631698E-3</v>
      </c>
      <c r="P7">
        <v>1924</v>
      </c>
      <c r="Q7" s="10">
        <f t="shared" si="0"/>
        <v>1.3087154412123684E-2</v>
      </c>
      <c r="R7" s="10">
        <v>0</v>
      </c>
      <c r="S7" s="10">
        <v>0.45839504339058401</v>
      </c>
      <c r="T7" s="10">
        <v>0.18173776596166699</v>
      </c>
      <c r="U7" s="10">
        <v>0.342696191866804</v>
      </c>
      <c r="V7" s="10">
        <v>0</v>
      </c>
      <c r="W7" s="10">
        <v>0</v>
      </c>
      <c r="X7" s="10">
        <f t="shared" si="1"/>
        <v>4.0784266326622052E-3</v>
      </c>
    </row>
    <row r="8" spans="3:24" x14ac:dyDescent="0.45">
      <c r="C8">
        <v>1929</v>
      </c>
      <c r="D8" s="10">
        <v>0</v>
      </c>
      <c r="E8" s="10">
        <v>0</v>
      </c>
      <c r="F8" s="10">
        <v>0.37410669926649898</v>
      </c>
      <c r="G8" s="10">
        <v>0.23657671985178899</v>
      </c>
      <c r="H8" s="10">
        <v>0.37925114311451302</v>
      </c>
      <c r="I8" s="10">
        <v>0</v>
      </c>
      <c r="J8" s="10">
        <v>0</v>
      </c>
      <c r="K8" s="10">
        <v>2.27244538802493E-3</v>
      </c>
      <c r="L8" s="10">
        <v>7.0927741280486399E-3</v>
      </c>
      <c r="P8">
        <v>1929</v>
      </c>
      <c r="Q8" s="10">
        <f t="shared" si="0"/>
        <v>3.5463870640243199E-3</v>
      </c>
      <c r="R8" s="10">
        <v>0</v>
      </c>
      <c r="S8" s="10">
        <v>0.37410669926649898</v>
      </c>
      <c r="T8" s="10">
        <v>0.23657671985178899</v>
      </c>
      <c r="U8" s="10">
        <v>0.37925114311451302</v>
      </c>
      <c r="V8" s="10">
        <v>0</v>
      </c>
      <c r="W8" s="10">
        <v>0</v>
      </c>
      <c r="X8" s="10">
        <f t="shared" si="1"/>
        <v>5.8188324520492499E-3</v>
      </c>
    </row>
    <row r="9" spans="3:24" x14ac:dyDescent="0.45">
      <c r="C9">
        <v>1931</v>
      </c>
      <c r="D9" s="10">
        <v>0</v>
      </c>
      <c r="E9" s="10">
        <v>0</v>
      </c>
      <c r="F9" s="10">
        <v>0.55076792237584404</v>
      </c>
      <c r="G9" s="10">
        <v>0.100822903941824</v>
      </c>
      <c r="H9" s="10">
        <v>0.29810335792926301</v>
      </c>
      <c r="I9" s="10">
        <v>8.8206607758844796E-4</v>
      </c>
      <c r="J9" s="10">
        <v>0</v>
      </c>
      <c r="K9" s="10">
        <v>3.8838273804198499E-2</v>
      </c>
      <c r="L9" s="10">
        <v>1.0414448127226699E-2</v>
      </c>
      <c r="P9">
        <v>1931</v>
      </c>
      <c r="Q9" s="10">
        <f t="shared" si="0"/>
        <v>5.2072240636133497E-3</v>
      </c>
      <c r="R9" s="10">
        <v>0</v>
      </c>
      <c r="S9" s="10">
        <v>0.55076792237584404</v>
      </c>
      <c r="T9" s="10">
        <v>0.100822903941824</v>
      </c>
      <c r="U9" s="10">
        <v>0.29810335792926301</v>
      </c>
      <c r="V9" s="10">
        <v>8.8206607758844796E-4</v>
      </c>
      <c r="W9" s="10">
        <v>0</v>
      </c>
      <c r="X9" s="10">
        <f t="shared" si="1"/>
        <v>4.4045497867811846E-2</v>
      </c>
    </row>
    <row r="10" spans="3:24" x14ac:dyDescent="0.45">
      <c r="C10">
        <v>1935</v>
      </c>
      <c r="D10" s="10">
        <v>0</v>
      </c>
      <c r="E10" s="10">
        <v>0</v>
      </c>
      <c r="F10" s="10">
        <v>0.47689367779372999</v>
      </c>
      <c r="G10" s="10">
        <v>0.10633396861330401</v>
      </c>
      <c r="H10" s="10">
        <v>0.38626472243226201</v>
      </c>
      <c r="I10" s="10">
        <v>0</v>
      </c>
      <c r="J10" s="10">
        <v>0</v>
      </c>
      <c r="K10" s="10">
        <v>2.11227876404598E-2</v>
      </c>
      <c r="L10" s="10">
        <v>9.3456195063597106E-3</v>
      </c>
      <c r="P10">
        <v>1935</v>
      </c>
      <c r="Q10" s="10">
        <f t="shared" si="0"/>
        <v>4.6728097531798553E-3</v>
      </c>
      <c r="R10" s="10">
        <v>0</v>
      </c>
      <c r="S10" s="10">
        <v>0.47689367779372999</v>
      </c>
      <c r="T10" s="10">
        <v>0.10633396861330401</v>
      </c>
      <c r="U10" s="10">
        <v>0.38626472243226201</v>
      </c>
      <c r="V10" s="10">
        <v>0</v>
      </c>
      <c r="W10" s="10">
        <v>0</v>
      </c>
      <c r="X10" s="10">
        <f t="shared" si="1"/>
        <v>2.5795597393639656E-2</v>
      </c>
    </row>
    <row r="11" spans="3:24" x14ac:dyDescent="0.45">
      <c r="C11">
        <v>1945</v>
      </c>
      <c r="D11" s="10">
        <v>0</v>
      </c>
      <c r="E11" s="10">
        <v>0</v>
      </c>
      <c r="F11" s="10">
        <v>0.36024811284870101</v>
      </c>
      <c r="G11" s="10">
        <v>0.121098828332181</v>
      </c>
      <c r="H11" s="10">
        <v>0.49066915250968401</v>
      </c>
      <c r="I11" s="10">
        <v>0</v>
      </c>
      <c r="J11" s="10">
        <v>0</v>
      </c>
      <c r="K11" s="10">
        <v>1.0705540108327E-2</v>
      </c>
      <c r="L11" s="10">
        <v>1.7278237623019801E-2</v>
      </c>
      <c r="P11">
        <v>1945</v>
      </c>
      <c r="Q11" s="10">
        <f t="shared" si="0"/>
        <v>8.6391188115099004E-3</v>
      </c>
      <c r="R11" s="10">
        <v>0</v>
      </c>
      <c r="S11" s="10">
        <v>0.36024811284870101</v>
      </c>
      <c r="T11" s="10">
        <v>0.121098828332181</v>
      </c>
      <c r="U11" s="10">
        <v>0.49066915250968401</v>
      </c>
      <c r="V11" s="10">
        <v>0</v>
      </c>
      <c r="W11" s="10">
        <v>0</v>
      </c>
      <c r="X11" s="10">
        <f t="shared" si="1"/>
        <v>1.9344658919836902E-2</v>
      </c>
    </row>
    <row r="12" spans="3:24" x14ac:dyDescent="0.45">
      <c r="C12">
        <v>1950</v>
      </c>
      <c r="D12" s="10">
        <v>3.5340456632945598E-2</v>
      </c>
      <c r="E12" s="10">
        <v>0</v>
      </c>
      <c r="F12" s="10">
        <v>0.396572313944559</v>
      </c>
      <c r="G12" s="10">
        <v>9.3162226195311101E-2</v>
      </c>
      <c r="H12" s="10">
        <v>0.46783537960497101</v>
      </c>
      <c r="I12" s="10">
        <v>1.0198574945141399E-4</v>
      </c>
      <c r="J12" s="10">
        <v>0</v>
      </c>
      <c r="K12" s="10">
        <v>4.0456593924990897E-3</v>
      </c>
      <c r="L12" s="10">
        <v>2.9419784802619301E-3</v>
      </c>
      <c r="P12">
        <v>1950</v>
      </c>
      <c r="Q12" s="10">
        <f t="shared" si="0"/>
        <v>3.6811445873076561E-2</v>
      </c>
      <c r="R12" s="10">
        <v>0</v>
      </c>
      <c r="S12" s="10">
        <v>0.396572313944559</v>
      </c>
      <c r="T12" s="10">
        <v>9.3162226195311101E-2</v>
      </c>
      <c r="U12" s="10">
        <v>0.46783537960497101</v>
      </c>
      <c r="V12" s="10">
        <v>1.0198574945141399E-4</v>
      </c>
      <c r="W12" s="10">
        <v>0</v>
      </c>
      <c r="X12" s="10">
        <f t="shared" si="1"/>
        <v>5.516648632630055E-3</v>
      </c>
    </row>
    <row r="13" spans="3:24" x14ac:dyDescent="0.45">
      <c r="C13">
        <v>1951</v>
      </c>
      <c r="D13" s="10">
        <v>3.7587971229279801E-2</v>
      </c>
      <c r="E13" s="10">
        <v>0</v>
      </c>
      <c r="F13" s="10">
        <v>0.43963478203439199</v>
      </c>
      <c r="G13" s="10">
        <v>2.5968181614113899E-2</v>
      </c>
      <c r="H13" s="10">
        <v>0.48688788932002203</v>
      </c>
      <c r="I13" s="10">
        <v>2.5945218727009301E-4</v>
      </c>
      <c r="J13" s="10">
        <v>0</v>
      </c>
      <c r="K13" s="10">
        <v>8.7312645857433001E-3</v>
      </c>
      <c r="L13" s="10">
        <v>9.3045902917960905E-4</v>
      </c>
      <c r="P13">
        <v>1951</v>
      </c>
      <c r="Q13" s="10">
        <f t="shared" si="0"/>
        <v>3.8053200743869607E-2</v>
      </c>
      <c r="R13" s="10">
        <v>0</v>
      </c>
      <c r="S13" s="10">
        <v>0.43963478203439199</v>
      </c>
      <c r="T13" s="10">
        <v>2.5968181614113899E-2</v>
      </c>
      <c r="U13" s="10">
        <v>0.48688788932002203</v>
      </c>
      <c r="V13" s="10">
        <v>2.5945218727009301E-4</v>
      </c>
      <c r="W13" s="10">
        <v>0</v>
      </c>
      <c r="X13" s="10">
        <f t="shared" si="1"/>
        <v>9.1964941003331042E-3</v>
      </c>
    </row>
    <row r="14" spans="3:24" x14ac:dyDescent="0.45">
      <c r="C14">
        <v>1955</v>
      </c>
      <c r="D14" s="10">
        <v>0</v>
      </c>
      <c r="E14" s="10">
        <v>0</v>
      </c>
      <c r="F14" s="10">
        <v>0.49182406565072101</v>
      </c>
      <c r="G14" s="10">
        <v>2.7663962519264E-2</v>
      </c>
      <c r="H14" s="10">
        <v>0.47368813671167698</v>
      </c>
      <c r="I14" s="10">
        <v>4.63821963440474E-4</v>
      </c>
      <c r="J14" s="10">
        <v>0</v>
      </c>
      <c r="K14" s="10">
        <v>1.7278057437641E-3</v>
      </c>
      <c r="L14" s="10">
        <v>4.6322074111336004E-3</v>
      </c>
      <c r="P14">
        <v>1955</v>
      </c>
      <c r="Q14" s="10">
        <f t="shared" si="0"/>
        <v>2.3161037055668002E-3</v>
      </c>
      <c r="R14" s="10">
        <v>0</v>
      </c>
      <c r="S14" s="10">
        <v>0.49182406565072101</v>
      </c>
      <c r="T14" s="10">
        <v>2.7663962519264E-2</v>
      </c>
      <c r="U14" s="10">
        <v>0.47368813671167698</v>
      </c>
      <c r="V14" s="10">
        <v>4.63821963440474E-4</v>
      </c>
      <c r="W14" s="10">
        <v>0</v>
      </c>
      <c r="X14" s="10">
        <f t="shared" si="1"/>
        <v>4.0439094493309007E-3</v>
      </c>
    </row>
    <row r="15" spans="3:24" x14ac:dyDescent="0.45">
      <c r="C15">
        <v>1959</v>
      </c>
      <c r="D15" s="10">
        <v>0</v>
      </c>
      <c r="E15" s="10">
        <v>0</v>
      </c>
      <c r="F15" s="10">
        <v>0.48762909263276499</v>
      </c>
      <c r="G15" s="10">
        <v>6.0012019943915501E-2</v>
      </c>
      <c r="H15" s="10">
        <v>0.44607852353250899</v>
      </c>
      <c r="I15" s="10">
        <v>7.9666303077839304E-4</v>
      </c>
      <c r="J15" s="10">
        <v>0</v>
      </c>
      <c r="K15" s="10">
        <v>2.8428534345620901E-3</v>
      </c>
      <c r="L15" s="10">
        <v>2.6408474254696998E-3</v>
      </c>
      <c r="P15">
        <v>1959</v>
      </c>
      <c r="Q15" s="10">
        <f t="shared" si="0"/>
        <v>1.3204237127348499E-3</v>
      </c>
      <c r="R15" s="10">
        <v>0</v>
      </c>
      <c r="S15" s="10">
        <v>0.48762909263276499</v>
      </c>
      <c r="T15" s="10">
        <v>6.0012019943915501E-2</v>
      </c>
      <c r="U15" s="10">
        <v>0.44607852353250899</v>
      </c>
      <c r="V15" s="10">
        <v>7.9666303077839304E-4</v>
      </c>
      <c r="W15" s="10">
        <v>0</v>
      </c>
      <c r="X15" s="10">
        <f t="shared" si="1"/>
        <v>4.1632771472969402E-3</v>
      </c>
    </row>
    <row r="16" spans="3:24" x14ac:dyDescent="0.45">
      <c r="C16">
        <v>1964</v>
      </c>
      <c r="D16" s="10">
        <v>0</v>
      </c>
      <c r="E16" s="10">
        <v>0</v>
      </c>
      <c r="F16" s="10">
        <v>0.42943111857126098</v>
      </c>
      <c r="G16" s="10">
        <v>0.11405595502376201</v>
      </c>
      <c r="H16" s="10">
        <v>0.44788603408538202</v>
      </c>
      <c r="I16" s="10">
        <v>2.3701388265407299E-3</v>
      </c>
      <c r="J16" s="10">
        <v>0</v>
      </c>
      <c r="K16" s="10">
        <v>2.5723134004179398E-3</v>
      </c>
      <c r="L16" s="10">
        <v>3.68444009263541E-3</v>
      </c>
      <c r="P16">
        <v>1964</v>
      </c>
      <c r="Q16" s="10">
        <f t="shared" si="0"/>
        <v>1.842220046317705E-3</v>
      </c>
      <c r="R16" s="10">
        <v>0</v>
      </c>
      <c r="S16" s="10">
        <v>0.42943111857126098</v>
      </c>
      <c r="T16" s="10">
        <v>0.11405595502376201</v>
      </c>
      <c r="U16" s="10">
        <v>0.44788603408538202</v>
      </c>
      <c r="V16" s="10">
        <v>2.3701388265407299E-3</v>
      </c>
      <c r="W16" s="10">
        <v>0</v>
      </c>
      <c r="X16" s="10">
        <f t="shared" si="1"/>
        <v>4.414533446735645E-3</v>
      </c>
    </row>
    <row r="17" spans="2:24" x14ac:dyDescent="0.45">
      <c r="C17">
        <v>1966</v>
      </c>
      <c r="D17" s="10">
        <v>0</v>
      </c>
      <c r="E17" s="10">
        <v>0</v>
      </c>
      <c r="F17" s="10">
        <v>0.41434213753087001</v>
      </c>
      <c r="G17" s="10">
        <v>8.6182604541564997E-2</v>
      </c>
      <c r="H17" s="10">
        <v>0.487220914387622</v>
      </c>
      <c r="I17" s="10">
        <v>4.81747270358785E-3</v>
      </c>
      <c r="J17" s="10">
        <v>0</v>
      </c>
      <c r="K17" s="10">
        <v>2.2900188013202198E-3</v>
      </c>
      <c r="L17" s="10">
        <v>5.1468520350348001E-3</v>
      </c>
      <c r="P17">
        <v>1966</v>
      </c>
      <c r="Q17" s="10">
        <f t="shared" si="0"/>
        <v>2.5734260175174E-3</v>
      </c>
      <c r="R17" s="10">
        <v>0</v>
      </c>
      <c r="S17" s="10">
        <v>0.41434213753087001</v>
      </c>
      <c r="T17" s="10">
        <v>8.6182604541564997E-2</v>
      </c>
      <c r="U17" s="10">
        <v>0.487220914387622</v>
      </c>
      <c r="V17" s="10">
        <v>4.81747270358785E-3</v>
      </c>
      <c r="W17" s="10">
        <v>0</v>
      </c>
      <c r="X17" s="10">
        <f t="shared" si="1"/>
        <v>4.8634448188376199E-3</v>
      </c>
    </row>
    <row r="18" spans="2:24" x14ac:dyDescent="0.45">
      <c r="C18">
        <v>1970</v>
      </c>
      <c r="D18" s="10">
        <v>0</v>
      </c>
      <c r="E18" s="10">
        <v>0</v>
      </c>
      <c r="F18" s="10">
        <v>0.46155695180475798</v>
      </c>
      <c r="G18" s="10">
        <v>7.6357681080283193E-2</v>
      </c>
      <c r="H18" s="10">
        <v>0.43827221471060201</v>
      </c>
      <c r="I18" s="10">
        <v>1.1129951530973301E-2</v>
      </c>
      <c r="J18" s="10">
        <v>0</v>
      </c>
      <c r="K18" s="10">
        <v>6.3491098400428204E-3</v>
      </c>
      <c r="L18" s="10">
        <v>6.3340910333407E-3</v>
      </c>
      <c r="P18">
        <v>1970</v>
      </c>
      <c r="Q18" s="10">
        <f t="shared" si="0"/>
        <v>3.16704551667035E-3</v>
      </c>
      <c r="R18" s="10">
        <v>0</v>
      </c>
      <c r="S18" s="10">
        <v>0.46155695180475798</v>
      </c>
      <c r="T18" s="10">
        <v>7.6357681080283193E-2</v>
      </c>
      <c r="U18" s="10">
        <v>0.43827221471060201</v>
      </c>
      <c r="V18" s="10">
        <v>1.1129951530973301E-2</v>
      </c>
      <c r="W18" s="10">
        <v>0</v>
      </c>
      <c r="X18" s="10">
        <f t="shared" si="1"/>
        <v>9.5161553567131713E-3</v>
      </c>
    </row>
    <row r="19" spans="2:24" x14ac:dyDescent="0.45">
      <c r="C19" t="s">
        <v>680</v>
      </c>
      <c r="D19" s="10">
        <v>0</v>
      </c>
      <c r="E19" s="10">
        <v>0</v>
      </c>
      <c r="F19" s="10">
        <v>0.38651531456018201</v>
      </c>
      <c r="G19" s="10">
        <v>0.19790775716234299</v>
      </c>
      <c r="H19" s="10">
        <v>0.38020521357792503</v>
      </c>
      <c r="I19" s="10">
        <v>2.06600994733434E-2</v>
      </c>
      <c r="J19" s="10">
        <v>0</v>
      </c>
      <c r="K19" s="10">
        <v>5.5968289556762099E-3</v>
      </c>
      <c r="L19" s="10">
        <v>9.1147862705308596E-3</v>
      </c>
      <c r="P19" t="s">
        <v>680</v>
      </c>
      <c r="Q19" s="10">
        <f t="shared" si="0"/>
        <v>4.5573931352654298E-3</v>
      </c>
      <c r="R19" s="10">
        <v>0</v>
      </c>
      <c r="S19" s="10">
        <v>0.38651531456018201</v>
      </c>
      <c r="T19" s="10">
        <v>0.19790775716234299</v>
      </c>
      <c r="U19" s="10">
        <v>0.38020521357792503</v>
      </c>
      <c r="V19" s="10">
        <v>2.06600994733434E-2</v>
      </c>
      <c r="W19" s="10">
        <v>0</v>
      </c>
      <c r="X19" s="10">
        <f t="shared" si="1"/>
        <v>1.0154222090941641E-2</v>
      </c>
    </row>
    <row r="20" spans="2:24" x14ac:dyDescent="0.45">
      <c r="C20" t="s">
        <v>681</v>
      </c>
      <c r="D20" s="10">
        <v>0</v>
      </c>
      <c r="E20" s="10">
        <v>0</v>
      </c>
      <c r="F20" s="10">
        <v>0.36735304322478202</v>
      </c>
      <c r="G20" s="10">
        <v>0.18769081454598899</v>
      </c>
      <c r="H20" s="10">
        <v>0.40218503936731498</v>
      </c>
      <c r="I20" s="10">
        <v>2.9473602844011699E-2</v>
      </c>
      <c r="J20" s="10">
        <v>0</v>
      </c>
      <c r="K20" s="10">
        <v>5.8381194789891401E-3</v>
      </c>
      <c r="L20" s="10">
        <v>7.4593805389137104E-3</v>
      </c>
      <c r="P20" t="s">
        <v>681</v>
      </c>
      <c r="Q20" s="10">
        <f t="shared" si="0"/>
        <v>3.7296902694568552E-3</v>
      </c>
      <c r="R20" s="10">
        <v>0</v>
      </c>
      <c r="S20" s="10">
        <v>0.36735304322478202</v>
      </c>
      <c r="T20" s="10">
        <v>0.18769081454598899</v>
      </c>
      <c r="U20" s="10">
        <v>0.40218503936731498</v>
      </c>
      <c r="V20" s="10">
        <v>2.9473602844011699E-2</v>
      </c>
      <c r="W20" s="10">
        <v>0</v>
      </c>
      <c r="X20" s="10">
        <f t="shared" si="1"/>
        <v>9.5678097484459962E-3</v>
      </c>
    </row>
    <row r="21" spans="2:24" x14ac:dyDescent="0.45">
      <c r="C21">
        <v>1979</v>
      </c>
      <c r="D21" s="10">
        <v>0</v>
      </c>
      <c r="E21" s="10">
        <v>0</v>
      </c>
      <c r="F21" s="10">
        <v>0.44871577025006298</v>
      </c>
      <c r="G21" s="10">
        <v>0.14131609795059899</v>
      </c>
      <c r="H21" s="10">
        <v>0.37778721452939101</v>
      </c>
      <c r="I21" s="10">
        <v>1.6518978009627899E-2</v>
      </c>
      <c r="J21" s="10">
        <v>0</v>
      </c>
      <c r="K21" s="10">
        <v>4.34199770615521E-3</v>
      </c>
      <c r="L21" s="10">
        <v>1.13199415541635E-2</v>
      </c>
      <c r="P21">
        <v>1979</v>
      </c>
      <c r="Q21" s="10">
        <f t="shared" si="0"/>
        <v>5.6599707770817499E-3</v>
      </c>
      <c r="R21" s="10">
        <v>0</v>
      </c>
      <c r="S21" s="10">
        <v>0.44871577025006298</v>
      </c>
      <c r="T21" s="10">
        <v>0.14131609795059899</v>
      </c>
      <c r="U21" s="10">
        <v>0.37778721452939101</v>
      </c>
      <c r="V21" s="10">
        <v>1.6518978009627899E-2</v>
      </c>
      <c r="W21" s="10">
        <v>0</v>
      </c>
      <c r="X21" s="10">
        <f t="shared" si="1"/>
        <v>1.0001968483236961E-2</v>
      </c>
    </row>
    <row r="22" spans="2:24" x14ac:dyDescent="0.45">
      <c r="C22">
        <v>1983</v>
      </c>
      <c r="D22" s="10">
        <v>0</v>
      </c>
      <c r="E22" s="10">
        <v>0</v>
      </c>
      <c r="F22" s="10">
        <v>0.43511695526684901</v>
      </c>
      <c r="G22" s="10">
        <v>0.260168473418881</v>
      </c>
      <c r="H22" s="10">
        <v>0.28279034910896</v>
      </c>
      <c r="I22" s="10">
        <v>1.11006286237755E-2</v>
      </c>
      <c r="J22" s="10">
        <v>0</v>
      </c>
      <c r="K22" s="10">
        <v>4.1901006769084603E-3</v>
      </c>
      <c r="L22" s="10">
        <v>6.6334929046259804E-3</v>
      </c>
      <c r="P22">
        <v>1983</v>
      </c>
      <c r="Q22" s="10">
        <f t="shared" si="0"/>
        <v>3.3167464523129902E-3</v>
      </c>
      <c r="R22" s="10">
        <v>0</v>
      </c>
      <c r="S22" s="10">
        <v>0.43511695526684901</v>
      </c>
      <c r="T22" s="10">
        <v>0.260168473418881</v>
      </c>
      <c r="U22" s="10">
        <v>0.28279034910896</v>
      </c>
      <c r="V22" s="10">
        <v>1.11006286237755E-2</v>
      </c>
      <c r="W22" s="10">
        <v>0</v>
      </c>
      <c r="X22" s="10">
        <f t="shared" si="1"/>
        <v>7.50684712922145E-3</v>
      </c>
    </row>
    <row r="23" spans="2:24" x14ac:dyDescent="0.45">
      <c r="C23">
        <v>1987</v>
      </c>
      <c r="D23" s="10">
        <v>0</v>
      </c>
      <c r="E23" s="10">
        <v>0</v>
      </c>
      <c r="F23" s="10">
        <v>0.43274000310140098</v>
      </c>
      <c r="G23" s="10">
        <v>0.230880118792887</v>
      </c>
      <c r="H23" s="10">
        <v>0.31539510764284501</v>
      </c>
      <c r="I23" s="10">
        <v>1.3097237775436E-2</v>
      </c>
      <c r="J23" s="10">
        <v>0</v>
      </c>
      <c r="K23" s="10">
        <v>3.88693982996765E-3</v>
      </c>
      <c r="L23" s="10">
        <v>4.0005928574638498E-3</v>
      </c>
      <c r="P23">
        <v>1987</v>
      </c>
      <c r="Q23" s="10">
        <f t="shared" si="0"/>
        <v>2.0002964287319249E-3</v>
      </c>
      <c r="R23" s="10">
        <v>0</v>
      </c>
      <c r="S23" s="10">
        <v>0.43274000310140098</v>
      </c>
      <c r="T23" s="10">
        <v>0.230880118792887</v>
      </c>
      <c r="U23" s="10">
        <v>0.31539510764284501</v>
      </c>
      <c r="V23" s="10">
        <v>1.3097237775436E-2</v>
      </c>
      <c r="W23" s="10">
        <v>0</v>
      </c>
      <c r="X23" s="10">
        <f t="shared" si="1"/>
        <v>5.8872362586995745E-3</v>
      </c>
    </row>
    <row r="24" spans="2:24" x14ac:dyDescent="0.45">
      <c r="B24" s="17" t="s">
        <v>686</v>
      </c>
      <c r="C24" s="17">
        <v>1992</v>
      </c>
      <c r="D24" s="18">
        <v>1.6801197086053995E-3</v>
      </c>
      <c r="E24" s="18">
        <v>0</v>
      </c>
      <c r="F24" s="18">
        <v>0.42937084436936895</v>
      </c>
      <c r="G24" s="18">
        <v>0.18361097603469936</v>
      </c>
      <c r="H24" s="18">
        <v>0.35208064623344582</v>
      </c>
      <c r="I24" s="18">
        <v>1.9179015825783255E-2</v>
      </c>
      <c r="J24" s="18">
        <v>5.180404643503579E-3</v>
      </c>
      <c r="K24" s="18">
        <v>8.8979931845936406E-3</v>
      </c>
      <c r="L24" s="18">
        <v>0</v>
      </c>
      <c r="P24">
        <v>1992</v>
      </c>
      <c r="Q24" s="10">
        <f t="shared" si="0"/>
        <v>1.6801197086053995E-3</v>
      </c>
      <c r="R24" s="15">
        <v>0</v>
      </c>
      <c r="S24" s="15">
        <v>0.42937084436936895</v>
      </c>
      <c r="T24" s="15">
        <v>0.18361097603469936</v>
      </c>
      <c r="U24" s="15">
        <v>0.35208064623344582</v>
      </c>
      <c r="V24" s="15">
        <v>1.9179015825783255E-2</v>
      </c>
      <c r="W24" s="15">
        <v>5.180404643503579E-3</v>
      </c>
      <c r="X24" s="10">
        <f t="shared" si="1"/>
        <v>8.8979931845936406E-3</v>
      </c>
    </row>
    <row r="25" spans="2:24" x14ac:dyDescent="0.45">
      <c r="B25" s="17" t="s">
        <v>686</v>
      </c>
      <c r="C25" s="17">
        <v>1997</v>
      </c>
      <c r="D25" s="18">
        <v>2.4795777524738096E-3</v>
      </c>
      <c r="E25" s="18">
        <v>2.6873893211156633E-2</v>
      </c>
      <c r="F25" s="18">
        <v>0.3174848944435803</v>
      </c>
      <c r="G25" s="18">
        <v>0.17355246824194406</v>
      </c>
      <c r="H25" s="18">
        <v>0.44827291370065103</v>
      </c>
      <c r="I25" s="18">
        <v>2.0574599864499932E-2</v>
      </c>
      <c r="J25" s="18">
        <v>2.0434247031380346E-3</v>
      </c>
      <c r="K25" s="18">
        <v>8.7182280825561977E-3</v>
      </c>
      <c r="L25" s="18">
        <v>0</v>
      </c>
      <c r="P25">
        <v>1997</v>
      </c>
      <c r="Q25" s="10">
        <f t="shared" si="0"/>
        <v>2.4795777524738096E-3</v>
      </c>
      <c r="R25" s="15">
        <v>2.6873893211156633E-2</v>
      </c>
      <c r="S25" s="15">
        <v>0.3174848944435803</v>
      </c>
      <c r="T25" s="15">
        <v>0.17355246824194406</v>
      </c>
      <c r="U25" s="15">
        <v>0.44827291370065103</v>
      </c>
      <c r="V25" s="15">
        <v>2.0574599864499932E-2</v>
      </c>
      <c r="W25" s="15">
        <v>2.0434247031380346E-3</v>
      </c>
      <c r="X25" s="10">
        <f t="shared" si="1"/>
        <v>8.7182280825561977E-3</v>
      </c>
    </row>
    <row r="26" spans="2:24" x14ac:dyDescent="0.45">
      <c r="B26" s="17" t="s">
        <v>686</v>
      </c>
      <c r="C26" s="17">
        <v>2001</v>
      </c>
      <c r="D26" s="18">
        <v>4.347664229347477E-3</v>
      </c>
      <c r="E26" s="18">
        <v>1.5320955187687909E-2</v>
      </c>
      <c r="F26" s="18">
        <v>0.32785144750257522</v>
      </c>
      <c r="G26" s="18">
        <v>0.18885556568375611</v>
      </c>
      <c r="H26" s="18">
        <v>0.42134680345216252</v>
      </c>
      <c r="I26" s="18">
        <v>1.8214049940767876E-2</v>
      </c>
      <c r="J26" s="18">
        <v>6.5305383684084771E-3</v>
      </c>
      <c r="K26" s="18">
        <v>1.75329756352944E-2</v>
      </c>
      <c r="L26" s="18">
        <v>0</v>
      </c>
      <c r="P26">
        <v>2001</v>
      </c>
      <c r="Q26" s="10">
        <f t="shared" si="0"/>
        <v>4.347664229347477E-3</v>
      </c>
      <c r="R26" s="15">
        <v>1.5320955187687909E-2</v>
      </c>
      <c r="S26" s="15">
        <v>0.32785144750257522</v>
      </c>
      <c r="T26" s="15">
        <v>0.18885556568375611</v>
      </c>
      <c r="U26" s="15">
        <v>0.42134680345216252</v>
      </c>
      <c r="V26" s="15">
        <v>1.8214049940767876E-2</v>
      </c>
      <c r="W26" s="15">
        <v>6.5305383684084771E-3</v>
      </c>
      <c r="X26" s="10">
        <f t="shared" si="1"/>
        <v>1.75329756352944E-2</v>
      </c>
    </row>
    <row r="27" spans="2:24" x14ac:dyDescent="0.45">
      <c r="B27" s="17" t="s">
        <v>686</v>
      </c>
      <c r="C27" s="17">
        <v>2005</v>
      </c>
      <c r="D27" s="18">
        <v>1.1214166092779483E-2</v>
      </c>
      <c r="E27" s="18">
        <v>2.3069941165602466E-2</v>
      </c>
      <c r="F27" s="18">
        <v>0.33444967382180157</v>
      </c>
      <c r="G27" s="18">
        <v>0.22787165703656753</v>
      </c>
      <c r="H27" s="18">
        <v>0.36366989372163933</v>
      </c>
      <c r="I27" s="18">
        <v>1.5695378233880768E-2</v>
      </c>
      <c r="J27" s="18">
        <v>9.8130806074913576E-3</v>
      </c>
      <c r="K27" s="18">
        <v>1.42162093202375E-2</v>
      </c>
      <c r="L27" s="18">
        <v>0</v>
      </c>
      <c r="P27">
        <v>2005</v>
      </c>
      <c r="Q27" s="10">
        <f t="shared" si="0"/>
        <v>1.1214166092779483E-2</v>
      </c>
      <c r="R27" s="15">
        <v>2.3069941165602466E-2</v>
      </c>
      <c r="S27" s="15">
        <v>0.33444967382180157</v>
      </c>
      <c r="T27" s="15">
        <v>0.22787165703656753</v>
      </c>
      <c r="U27" s="15">
        <v>0.36366989372163933</v>
      </c>
      <c r="V27" s="15">
        <v>1.5695378233880768E-2</v>
      </c>
      <c r="W27" s="15">
        <v>9.8130806074913576E-3</v>
      </c>
      <c r="X27" s="10">
        <f t="shared" si="1"/>
        <v>1.42162093202375E-2</v>
      </c>
    </row>
    <row r="28" spans="2:24" x14ac:dyDescent="0.45">
      <c r="B28" s="17" t="s">
        <v>686</v>
      </c>
      <c r="C28" s="17">
        <v>2010</v>
      </c>
      <c r="D28" s="18">
        <v>2.3446645720395655E-2</v>
      </c>
      <c r="E28" s="18">
        <v>3.1936053570145416E-2</v>
      </c>
      <c r="F28" s="18">
        <v>0.37174394880262462</v>
      </c>
      <c r="G28" s="18">
        <v>0.23744454058160858</v>
      </c>
      <c r="H28" s="18">
        <v>0.29980487509078052</v>
      </c>
      <c r="I28" s="18">
        <v>1.7065953872475628E-2</v>
      </c>
      <c r="J28" s="18">
        <v>9.2120920555582436E-3</v>
      </c>
      <c r="K28" s="18">
        <v>9.3458903064113658E-3</v>
      </c>
      <c r="L28" s="18">
        <v>0</v>
      </c>
      <c r="P28">
        <v>2010</v>
      </c>
      <c r="Q28" s="10">
        <f t="shared" si="0"/>
        <v>2.3446645720395655E-2</v>
      </c>
      <c r="R28" s="15">
        <v>3.1936053570145416E-2</v>
      </c>
      <c r="S28" s="15">
        <v>0.37174394880262462</v>
      </c>
      <c r="T28" s="15">
        <v>0.23744454058160858</v>
      </c>
      <c r="U28" s="15">
        <v>0.29980487509078052</v>
      </c>
      <c r="V28" s="15">
        <v>1.7065953872475628E-2</v>
      </c>
      <c r="W28" s="15">
        <v>9.2120920555582436E-3</v>
      </c>
      <c r="X28" s="10">
        <f t="shared" si="1"/>
        <v>9.3458903064113658E-3</v>
      </c>
    </row>
    <row r="29" spans="2:24" x14ac:dyDescent="0.45">
      <c r="B29" s="17" t="s">
        <v>686</v>
      </c>
      <c r="C29" s="17">
        <v>2015</v>
      </c>
      <c r="D29" s="18">
        <v>1.65266588832043E-3</v>
      </c>
      <c r="E29" s="18">
        <v>0.12995836181366885</v>
      </c>
      <c r="F29" s="18">
        <v>0.37952586197514998</v>
      </c>
      <c r="G29" s="18">
        <v>8.0896798983852658E-2</v>
      </c>
      <c r="H29" s="18">
        <v>0.31299286271881693</v>
      </c>
      <c r="I29" s="18">
        <v>4.8701700194410204E-2</v>
      </c>
      <c r="J29" s="18">
        <v>3.722195823068665E-2</v>
      </c>
      <c r="K29" s="18">
        <v>9.0497901950943021E-3</v>
      </c>
      <c r="L29" s="18">
        <v>0</v>
      </c>
      <c r="P29">
        <v>2015</v>
      </c>
      <c r="Q29" s="10">
        <f t="shared" si="0"/>
        <v>1.65266588832043E-3</v>
      </c>
      <c r="R29" s="15">
        <v>0.12995836181366885</v>
      </c>
      <c r="S29" s="15">
        <v>0.37952586197514998</v>
      </c>
      <c r="T29" s="15">
        <v>8.0896798983852658E-2</v>
      </c>
      <c r="U29" s="15">
        <v>0.31299286271881693</v>
      </c>
      <c r="V29" s="15">
        <v>4.8701700194410204E-2</v>
      </c>
      <c r="W29" s="15">
        <v>3.722195823068665E-2</v>
      </c>
      <c r="X29" s="10">
        <f t="shared" si="1"/>
        <v>9.0497901950943021E-3</v>
      </c>
    </row>
    <row r="30" spans="2:24" x14ac:dyDescent="0.45">
      <c r="B30" s="17" t="s">
        <v>686</v>
      </c>
      <c r="C30" s="17">
        <v>2017</v>
      </c>
      <c r="D30" s="18">
        <v>2.7502825902641186E-3</v>
      </c>
      <c r="E30" s="18">
        <v>1.8951045100685203E-2</v>
      </c>
      <c r="F30" s="18">
        <v>0.43611070686133691</v>
      </c>
      <c r="G30" s="18">
        <v>7.5663467454157279E-2</v>
      </c>
      <c r="H30" s="18">
        <v>0.41081156504125083</v>
      </c>
      <c r="I30" s="18">
        <v>3.1184873208095088E-2</v>
      </c>
      <c r="J30" s="18">
        <v>1.634346923803125E-2</v>
      </c>
      <c r="K30" s="18">
        <v>8.1845905061793435E-3</v>
      </c>
      <c r="L30" s="18">
        <v>0</v>
      </c>
      <c r="P30">
        <v>2017</v>
      </c>
      <c r="Q30" s="10">
        <f t="shared" si="0"/>
        <v>2.7502825902641186E-3</v>
      </c>
      <c r="R30" s="15">
        <v>1.8951045100685203E-2</v>
      </c>
      <c r="S30" s="15">
        <v>0.43611070686133691</v>
      </c>
      <c r="T30" s="15">
        <v>7.5663467454157279E-2</v>
      </c>
      <c r="U30" s="15">
        <v>0.41081156504125083</v>
      </c>
      <c r="V30" s="15">
        <v>3.1184873208095088E-2</v>
      </c>
      <c r="W30" s="15">
        <v>1.634346923803125E-2</v>
      </c>
      <c r="X30" s="10">
        <f t="shared" si="1"/>
        <v>8.1845905061793435E-3</v>
      </c>
    </row>
    <row r="31" spans="2:24" x14ac:dyDescent="0.45">
      <c r="B31" s="17" t="s">
        <v>686</v>
      </c>
      <c r="C31" s="17">
        <v>2019</v>
      </c>
      <c r="D31" s="18">
        <v>4.5198111364460128E-3</v>
      </c>
      <c r="E31" s="18">
        <v>2.0701760361532193E-2</v>
      </c>
      <c r="F31" s="18">
        <v>0.44878081853726504</v>
      </c>
      <c r="G31" s="18">
        <v>0.11877617213909118</v>
      </c>
      <c r="H31" s="18">
        <v>0.33083518203855417</v>
      </c>
      <c r="I31" s="18">
        <v>3.9921107629347245E-2</v>
      </c>
      <c r="J31" s="18">
        <v>2.6850044086156946E-2</v>
      </c>
      <c r="K31" s="18">
        <v>9.6151040716072299E-3</v>
      </c>
      <c r="L31" s="18">
        <v>0</v>
      </c>
      <c r="P31">
        <v>2019</v>
      </c>
      <c r="Q31" s="10">
        <f t="shared" si="0"/>
        <v>4.5198111364460128E-3</v>
      </c>
      <c r="R31" s="15">
        <v>2.0701760361532193E-2</v>
      </c>
      <c r="S31" s="15">
        <v>0.44878081853726504</v>
      </c>
      <c r="T31" s="15">
        <v>0.11877617213909118</v>
      </c>
      <c r="U31" s="15">
        <v>0.33083518203855417</v>
      </c>
      <c r="V31" s="15">
        <v>3.9921107629347245E-2</v>
      </c>
      <c r="W31" s="15">
        <v>2.6850044086156946E-2</v>
      </c>
      <c r="X31" s="10">
        <f t="shared" si="1"/>
        <v>9.6151040716072299E-3</v>
      </c>
    </row>
    <row r="32" spans="2:24" x14ac:dyDescent="0.45">
      <c r="B32" s="17" t="s">
        <v>686</v>
      </c>
      <c r="C32" s="17">
        <v>2024</v>
      </c>
      <c r="D32" s="18">
        <v>1.0475893877665442E-2</v>
      </c>
      <c r="E32" s="18">
        <v>0.14836793006880072</v>
      </c>
      <c r="F32" s="18">
        <v>0.24606288750420993</v>
      </c>
      <c r="G32" s="18">
        <v>0.12680333846399366</v>
      </c>
      <c r="H32" s="18">
        <v>0.35073819496819109</v>
      </c>
      <c r="I32" s="18">
        <v>2.6114805217772371E-2</v>
      </c>
      <c r="J32" s="18">
        <v>6.6367734268476253E-2</v>
      </c>
      <c r="K32" s="18">
        <v>2.5069215630890516E-2</v>
      </c>
      <c r="L32" s="18">
        <v>0</v>
      </c>
      <c r="P32">
        <v>2024</v>
      </c>
      <c r="Q32" s="10">
        <f t="shared" si="0"/>
        <v>1.0475893877665442E-2</v>
      </c>
      <c r="R32" s="15">
        <v>0.14836793006880072</v>
      </c>
      <c r="S32" s="15">
        <v>0.24606288750420993</v>
      </c>
      <c r="T32" s="15">
        <v>0.12680333846399366</v>
      </c>
      <c r="U32" s="15">
        <v>0.35073819496819109</v>
      </c>
      <c r="V32" s="15">
        <v>2.6114805217772371E-2</v>
      </c>
      <c r="W32" s="15">
        <v>6.6367734268476253E-2</v>
      </c>
      <c r="X32" s="10">
        <f t="shared" si="1"/>
        <v>2.5069215630890516E-2</v>
      </c>
    </row>
  </sheetData>
  <conditionalFormatting sqref="D24:K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K2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L23 L24:L32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:X4 R5:W23 Q5:Q32 X5:X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4:W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7:W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16CDC-9086-4D57-96C8-2CDF764E79A9}">
  <dimension ref="B1:X68"/>
  <sheetViews>
    <sheetView topLeftCell="A34" workbookViewId="0">
      <selection activeCell="G40" sqref="G40"/>
    </sheetView>
  </sheetViews>
  <sheetFormatPr defaultRowHeight="14.25" x14ac:dyDescent="0.45"/>
  <cols>
    <col min="4" max="4" width="13.6640625" bestFit="1" customWidth="1"/>
    <col min="5" max="5" width="12.59765625" bestFit="1" customWidth="1"/>
    <col min="6" max="6" width="13.6640625" bestFit="1" customWidth="1"/>
    <col min="7" max="8" width="12.53125" bestFit="1" customWidth="1"/>
    <col min="9" max="9" width="13.59765625" bestFit="1" customWidth="1"/>
    <col min="10" max="10" width="10" bestFit="1" customWidth="1"/>
  </cols>
  <sheetData>
    <row r="1" spans="2:16" x14ac:dyDescent="0.45">
      <c r="B1" s="14" t="s">
        <v>678</v>
      </c>
    </row>
    <row r="2" spans="2:16" x14ac:dyDescent="0.45">
      <c r="B2" t="s">
        <v>677</v>
      </c>
    </row>
    <row r="3" spans="2:16" x14ac:dyDescent="0.45">
      <c r="B3" t="s">
        <v>679</v>
      </c>
    </row>
    <row r="4" spans="2:16" x14ac:dyDescent="0.45">
      <c r="D4">
        <v>1</v>
      </c>
      <c r="E4">
        <v>2</v>
      </c>
      <c r="F4">
        <v>3</v>
      </c>
      <c r="G4">
        <v>4</v>
      </c>
      <c r="H4">
        <v>5</v>
      </c>
    </row>
    <row r="5" spans="2:16" x14ac:dyDescent="0.45">
      <c r="C5" t="s">
        <v>670</v>
      </c>
      <c r="D5" t="s">
        <v>671</v>
      </c>
      <c r="E5" t="s">
        <v>674</v>
      </c>
      <c r="F5" t="s">
        <v>672</v>
      </c>
      <c r="G5" t="s">
        <v>673</v>
      </c>
      <c r="H5" t="s">
        <v>675</v>
      </c>
      <c r="I5" t="s">
        <v>676</v>
      </c>
      <c r="K5" t="s">
        <v>670</v>
      </c>
      <c r="L5" t="s">
        <v>671</v>
      </c>
      <c r="M5" t="s">
        <v>674</v>
      </c>
      <c r="N5" t="s">
        <v>672</v>
      </c>
      <c r="O5" t="s">
        <v>673</v>
      </c>
      <c r="P5" t="s">
        <v>675</v>
      </c>
    </row>
    <row r="6" spans="2:16" x14ac:dyDescent="0.45">
      <c r="C6">
        <v>1918</v>
      </c>
      <c r="D6" s="6">
        <v>3781396</v>
      </c>
      <c r="E6" s="6">
        <v>1364333</v>
      </c>
      <c r="F6" s="6">
        <v>2233046</v>
      </c>
      <c r="G6" s="6">
        <v>0</v>
      </c>
      <c r="H6" s="6">
        <v>2089249</v>
      </c>
      <c r="I6" s="6">
        <v>9469003</v>
      </c>
      <c r="K6">
        <v>1918</v>
      </c>
      <c r="L6">
        <f>D6/$I6</f>
        <v>0.39934468285626268</v>
      </c>
      <c r="M6">
        <f t="shared" ref="M6:P21" si="0">E6/$I6</f>
        <v>0.14408412374565727</v>
      </c>
      <c r="N6">
        <f t="shared" si="0"/>
        <v>0.23582693975279129</v>
      </c>
      <c r="O6">
        <f t="shared" si="0"/>
        <v>0</v>
      </c>
      <c r="P6">
        <f t="shared" si="0"/>
        <v>0.22064086366854038</v>
      </c>
    </row>
    <row r="7" spans="2:16" x14ac:dyDescent="0.45">
      <c r="C7">
        <v>1922</v>
      </c>
      <c r="D7" s="6">
        <v>5246148</v>
      </c>
      <c r="E7" s="6">
        <v>2605477</v>
      </c>
      <c r="F7" s="6">
        <v>4079690</v>
      </c>
      <c r="G7" s="6">
        <v>0</v>
      </c>
      <c r="H7" s="6">
        <v>1699890</v>
      </c>
      <c r="I7" s="6">
        <v>13632934</v>
      </c>
      <c r="K7">
        <v>1922</v>
      </c>
      <c r="L7">
        <f t="shared" ref="L7:L33" si="1">D7/$I7</f>
        <v>0.38481430336272443</v>
      </c>
      <c r="M7">
        <f t="shared" si="0"/>
        <v>0.19111638037710738</v>
      </c>
      <c r="N7">
        <f t="shared" si="0"/>
        <v>0.29925253067314783</v>
      </c>
      <c r="O7">
        <f t="shared" si="0"/>
        <v>0</v>
      </c>
      <c r="P7">
        <f t="shared" si="0"/>
        <v>0.12468996035629601</v>
      </c>
    </row>
    <row r="8" spans="2:16" x14ac:dyDescent="0.45">
      <c r="C8">
        <v>1923</v>
      </c>
      <c r="D8" s="6">
        <v>5227770</v>
      </c>
      <c r="E8" s="6">
        <v>4129340</v>
      </c>
      <c r="F8" s="6">
        <v>4298086</v>
      </c>
      <c r="G8" s="6">
        <v>0</v>
      </c>
      <c r="H8" s="6">
        <v>144103</v>
      </c>
      <c r="I8" s="6">
        <v>13799552</v>
      </c>
      <c r="K8">
        <v>1923</v>
      </c>
      <c r="L8">
        <f t="shared" si="1"/>
        <v>0.37883621149440216</v>
      </c>
      <c r="M8">
        <f t="shared" si="0"/>
        <v>0.29923725060059919</v>
      </c>
      <c r="N8">
        <f t="shared" si="0"/>
        <v>0.31146561859399491</v>
      </c>
      <c r="O8">
        <f t="shared" si="0"/>
        <v>0</v>
      </c>
      <c r="P8">
        <f t="shared" si="0"/>
        <v>1.0442585382481983E-2</v>
      </c>
    </row>
    <row r="9" spans="2:16" x14ac:dyDescent="0.45">
      <c r="C9">
        <v>1924</v>
      </c>
      <c r="D9" s="6">
        <v>7137912</v>
      </c>
      <c r="E9" s="6">
        <v>2826717</v>
      </c>
      <c r="F9" s="6">
        <v>5317686</v>
      </c>
      <c r="G9" s="6">
        <v>0</v>
      </c>
      <c r="H9" s="6">
        <v>275232</v>
      </c>
      <c r="I9" s="6">
        <v>15557631</v>
      </c>
      <c r="K9">
        <v>1924</v>
      </c>
      <c r="L9">
        <f t="shared" si="1"/>
        <v>0.4588045570691322</v>
      </c>
      <c r="M9">
        <f t="shared" si="0"/>
        <v>0.18169327965163848</v>
      </c>
      <c r="N9">
        <f t="shared" si="0"/>
        <v>0.34180563866053898</v>
      </c>
      <c r="O9">
        <f t="shared" si="0"/>
        <v>0</v>
      </c>
      <c r="P9">
        <f t="shared" si="0"/>
        <v>1.7691125339069941E-2</v>
      </c>
    </row>
    <row r="10" spans="2:16" x14ac:dyDescent="0.45">
      <c r="C10">
        <v>1929</v>
      </c>
      <c r="D10" s="6">
        <v>8008248</v>
      </c>
      <c r="E10" s="6">
        <v>5057454</v>
      </c>
      <c r="F10" s="6">
        <v>8080357</v>
      </c>
      <c r="G10" s="6">
        <v>0</v>
      </c>
      <c r="H10" s="6">
        <v>208617</v>
      </c>
      <c r="I10" s="6">
        <v>21369585</v>
      </c>
      <c r="K10">
        <v>1929</v>
      </c>
      <c r="L10">
        <f t="shared" si="1"/>
        <v>0.37474981381248162</v>
      </c>
      <c r="M10">
        <f t="shared" si="0"/>
        <v>0.2366659904719722</v>
      </c>
      <c r="N10">
        <f t="shared" si="0"/>
        <v>0.37812418912206297</v>
      </c>
      <c r="O10">
        <f t="shared" si="0"/>
        <v>0</v>
      </c>
      <c r="P10">
        <f t="shared" si="0"/>
        <v>9.7623327734254074E-3</v>
      </c>
    </row>
    <row r="11" spans="2:16" x14ac:dyDescent="0.45">
      <c r="C11">
        <v>1931</v>
      </c>
      <c r="D11" s="6">
        <v>11295902</v>
      </c>
      <c r="E11" s="6">
        <v>1450594</v>
      </c>
      <c r="F11" s="6">
        <v>6110999</v>
      </c>
      <c r="G11" s="6">
        <v>20132</v>
      </c>
      <c r="H11" s="6">
        <v>1646900</v>
      </c>
      <c r="I11" s="6">
        <v>20528033</v>
      </c>
      <c r="K11">
        <v>1931</v>
      </c>
      <c r="L11">
        <f t="shared" si="1"/>
        <v>0.55026713957445417</v>
      </c>
      <c r="M11">
        <f t="shared" si="0"/>
        <v>7.0664052420414555E-2</v>
      </c>
      <c r="N11">
        <f t="shared" si="0"/>
        <v>0.29769043142126672</v>
      </c>
      <c r="O11">
        <f t="shared" si="0"/>
        <v>9.8070769858953359E-4</v>
      </c>
      <c r="P11">
        <f t="shared" si="0"/>
        <v>8.0226878045256453E-2</v>
      </c>
    </row>
    <row r="12" spans="2:16" x14ac:dyDescent="0.45">
      <c r="C12">
        <v>1935</v>
      </c>
      <c r="D12" s="6">
        <v>9851091</v>
      </c>
      <c r="E12" s="6">
        <v>1415019</v>
      </c>
      <c r="F12" s="6">
        <v>7958883</v>
      </c>
      <c r="G12" s="6">
        <v>0</v>
      </c>
      <c r="H12" s="6">
        <v>1426109</v>
      </c>
      <c r="I12" s="6">
        <v>20651909</v>
      </c>
      <c r="K12">
        <v>1935</v>
      </c>
      <c r="L12">
        <f t="shared" si="1"/>
        <v>0.47700631452520925</v>
      </c>
      <c r="M12">
        <f t="shared" si="0"/>
        <v>6.85175883740336E-2</v>
      </c>
      <c r="N12">
        <f t="shared" si="0"/>
        <v>0.38538243607406947</v>
      </c>
      <c r="O12">
        <f t="shared" si="0"/>
        <v>0</v>
      </c>
      <c r="P12">
        <f t="shared" si="0"/>
        <v>6.9054584735967997E-2</v>
      </c>
    </row>
    <row r="13" spans="2:16" x14ac:dyDescent="0.45">
      <c r="C13">
        <v>1945</v>
      </c>
      <c r="D13" s="6">
        <v>8414872</v>
      </c>
      <c r="E13" s="6">
        <v>2156005</v>
      </c>
      <c r="F13" s="6">
        <v>11454628</v>
      </c>
      <c r="G13" s="6">
        <v>0</v>
      </c>
      <c r="H13" s="6">
        <v>1422464</v>
      </c>
      <c r="I13" s="6">
        <v>23447972</v>
      </c>
      <c r="K13">
        <v>1945</v>
      </c>
      <c r="L13">
        <f t="shared" si="1"/>
        <v>0.35887419176379093</v>
      </c>
      <c r="M13">
        <f t="shared" si="0"/>
        <v>9.194846360273716E-2</v>
      </c>
      <c r="N13">
        <f t="shared" si="0"/>
        <v>0.48851252466524608</v>
      </c>
      <c r="O13">
        <f t="shared" si="0"/>
        <v>0</v>
      </c>
      <c r="P13">
        <f t="shared" si="0"/>
        <v>6.0664692025391362E-2</v>
      </c>
    </row>
    <row r="14" spans="2:16" x14ac:dyDescent="0.45">
      <c r="C14">
        <v>1950</v>
      </c>
      <c r="D14" s="6">
        <v>11154726</v>
      </c>
      <c r="E14" s="6">
        <v>2621297</v>
      </c>
      <c r="F14" s="6">
        <v>13188379</v>
      </c>
      <c r="G14" s="6">
        <v>0</v>
      </c>
      <c r="H14" s="6">
        <v>1225811</v>
      </c>
      <c r="I14" s="6">
        <v>28190213</v>
      </c>
      <c r="K14">
        <v>1950</v>
      </c>
      <c r="L14">
        <f t="shared" si="1"/>
        <v>0.39569498818614818</v>
      </c>
      <c r="M14">
        <f t="shared" si="0"/>
        <v>9.2986065766867382E-2</v>
      </c>
      <c r="N14">
        <f t="shared" si="0"/>
        <v>0.4678353796049714</v>
      </c>
      <c r="O14">
        <f t="shared" si="0"/>
        <v>0</v>
      </c>
      <c r="P14">
        <f t="shared" si="0"/>
        <v>4.3483566442013052E-2</v>
      </c>
    </row>
    <row r="15" spans="2:16" x14ac:dyDescent="0.45">
      <c r="C15">
        <v>1951</v>
      </c>
      <c r="D15" s="6">
        <v>12299109</v>
      </c>
      <c r="E15" s="6">
        <v>730546</v>
      </c>
      <c r="F15" s="6">
        <v>13697301</v>
      </c>
      <c r="G15" s="6">
        <v>18219</v>
      </c>
      <c r="H15" s="6">
        <v>1387176</v>
      </c>
      <c r="I15" s="6">
        <v>28132351</v>
      </c>
      <c r="K15">
        <v>1951</v>
      </c>
      <c r="L15">
        <f t="shared" si="1"/>
        <v>0.43718738615197855</v>
      </c>
      <c r="M15">
        <f t="shared" si="0"/>
        <v>2.5968181614113944E-2</v>
      </c>
      <c r="N15">
        <f t="shared" si="0"/>
        <v>0.48688788932002164</v>
      </c>
      <c r="O15">
        <f t="shared" si="0"/>
        <v>6.4761739962650112E-4</v>
      </c>
      <c r="P15">
        <f t="shared" si="0"/>
        <v>4.9308925514259368E-2</v>
      </c>
    </row>
    <row r="16" spans="2:16" x14ac:dyDescent="0.45">
      <c r="C16">
        <v>1955</v>
      </c>
      <c r="D16" s="6">
        <v>12843232</v>
      </c>
      <c r="E16" s="6">
        <v>722402</v>
      </c>
      <c r="F16" s="6">
        <v>12369640</v>
      </c>
      <c r="G16" s="6">
        <v>57231</v>
      </c>
      <c r="H16" s="6">
        <v>120963</v>
      </c>
      <c r="I16" s="6">
        <v>26113468</v>
      </c>
      <c r="K16">
        <v>1955</v>
      </c>
      <c r="L16">
        <f t="shared" si="1"/>
        <v>0.4918240656507209</v>
      </c>
      <c r="M16">
        <f t="shared" si="0"/>
        <v>2.7663962519264007E-2</v>
      </c>
      <c r="N16">
        <f t="shared" si="0"/>
        <v>0.47368813671167692</v>
      </c>
      <c r="O16">
        <f t="shared" si="0"/>
        <v>2.1916277072045734E-3</v>
      </c>
      <c r="P16">
        <f t="shared" si="0"/>
        <v>4.6322074111335961E-3</v>
      </c>
    </row>
    <row r="17" spans="3:16" x14ac:dyDescent="0.45">
      <c r="C17">
        <v>1959</v>
      </c>
      <c r="D17" s="6">
        <v>13305602</v>
      </c>
      <c r="E17" s="6">
        <v>1637507</v>
      </c>
      <c r="F17" s="6">
        <v>12171840</v>
      </c>
      <c r="G17" s="6">
        <v>99309</v>
      </c>
      <c r="H17" s="6">
        <v>72059</v>
      </c>
      <c r="I17" s="6">
        <v>27286317</v>
      </c>
      <c r="K17">
        <v>1959</v>
      </c>
      <c r="L17">
        <f t="shared" si="1"/>
        <v>0.48762909263276533</v>
      </c>
      <c r="M17">
        <f t="shared" si="0"/>
        <v>6.001201994391548E-2</v>
      </c>
      <c r="N17">
        <f t="shared" si="0"/>
        <v>0.44607852353250899</v>
      </c>
      <c r="O17">
        <f t="shared" si="0"/>
        <v>3.6395164653404855E-3</v>
      </c>
      <c r="P17">
        <f t="shared" si="0"/>
        <v>2.6408474254696959E-3</v>
      </c>
    </row>
    <row r="18" spans="3:16" x14ac:dyDescent="0.45">
      <c r="C18">
        <v>1964</v>
      </c>
      <c r="D18" s="6">
        <v>11603745</v>
      </c>
      <c r="E18" s="6">
        <v>3081929</v>
      </c>
      <c r="F18" s="6">
        <v>12102419</v>
      </c>
      <c r="G18" s="6">
        <v>133551</v>
      </c>
      <c r="H18" s="6">
        <v>99558</v>
      </c>
      <c r="I18" s="6">
        <v>27021202</v>
      </c>
      <c r="K18">
        <v>1964</v>
      </c>
      <c r="L18">
        <f t="shared" si="1"/>
        <v>0.42943111857126121</v>
      </c>
      <c r="M18">
        <f t="shared" si="0"/>
        <v>0.11405595502376245</v>
      </c>
      <c r="N18">
        <f t="shared" si="0"/>
        <v>0.4478860340853823</v>
      </c>
      <c r="O18">
        <f t="shared" si="0"/>
        <v>4.9424522269586671E-3</v>
      </c>
      <c r="P18">
        <f t="shared" si="0"/>
        <v>3.6844400926354052E-3</v>
      </c>
    </row>
    <row r="19" spans="3:16" x14ac:dyDescent="0.45">
      <c r="C19">
        <v>1966</v>
      </c>
      <c r="D19" s="6">
        <v>11049817</v>
      </c>
      <c r="E19" s="6">
        <v>2298347</v>
      </c>
      <c r="F19" s="6">
        <v>12993373</v>
      </c>
      <c r="G19" s="6">
        <v>189545</v>
      </c>
      <c r="H19" s="6">
        <v>137258</v>
      </c>
      <c r="I19" s="6">
        <v>26668340</v>
      </c>
      <c r="K19">
        <v>1966</v>
      </c>
      <c r="L19">
        <f t="shared" si="1"/>
        <v>0.41434213753086996</v>
      </c>
      <c r="M19">
        <f t="shared" si="0"/>
        <v>8.6182604541565011E-2</v>
      </c>
      <c r="N19">
        <f t="shared" si="0"/>
        <v>0.48722091438762216</v>
      </c>
      <c r="O19">
        <f t="shared" si="0"/>
        <v>7.1074915049080672E-3</v>
      </c>
      <c r="P19">
        <f t="shared" si="0"/>
        <v>5.1468520350348018E-3</v>
      </c>
    </row>
    <row r="20" spans="3:16" x14ac:dyDescent="0.45">
      <c r="C20">
        <v>1970</v>
      </c>
      <c r="D20" s="6">
        <v>12723020</v>
      </c>
      <c r="E20" s="6">
        <v>2104833</v>
      </c>
      <c r="F20" s="6">
        <v>12081166</v>
      </c>
      <c r="G20" s="6">
        <v>481818</v>
      </c>
      <c r="H20" s="6">
        <v>174602</v>
      </c>
      <c r="I20" s="6">
        <v>27565439</v>
      </c>
      <c r="K20">
        <v>1970</v>
      </c>
      <c r="L20">
        <f t="shared" si="1"/>
        <v>0.46155695180475814</v>
      </c>
      <c r="M20">
        <f t="shared" si="0"/>
        <v>7.635768108028318E-2</v>
      </c>
      <c r="N20">
        <f t="shared" si="0"/>
        <v>0.4382722147106019</v>
      </c>
      <c r="O20">
        <f t="shared" si="0"/>
        <v>1.7479061371016076E-2</v>
      </c>
      <c r="P20">
        <f t="shared" si="0"/>
        <v>6.3340910333406992E-3</v>
      </c>
    </row>
    <row r="21" spans="3:16" x14ac:dyDescent="0.45">
      <c r="C21">
        <v>1974.1666666666699</v>
      </c>
      <c r="D21" s="6">
        <v>11834346</v>
      </c>
      <c r="E21" s="6">
        <v>6059550</v>
      </c>
      <c r="F21" s="6">
        <v>11641143</v>
      </c>
      <c r="G21" s="6">
        <v>803936</v>
      </c>
      <c r="H21" s="6">
        <v>279077</v>
      </c>
      <c r="I21" s="6">
        <v>30618052</v>
      </c>
      <c r="K21" t="s">
        <v>680</v>
      </c>
      <c r="L21">
        <f t="shared" si="1"/>
        <v>0.38651531456018168</v>
      </c>
      <c r="M21">
        <f t="shared" si="0"/>
        <v>0.19790775716234332</v>
      </c>
      <c r="N21">
        <f t="shared" si="0"/>
        <v>0.38020521357792453</v>
      </c>
      <c r="O21">
        <f t="shared" si="0"/>
        <v>2.6256928429019586E-2</v>
      </c>
      <c r="P21">
        <f t="shared" si="0"/>
        <v>9.1147862705308613E-3</v>
      </c>
    </row>
    <row r="22" spans="3:16" x14ac:dyDescent="0.45">
      <c r="C22">
        <v>1974.8333333333301</v>
      </c>
      <c r="D22" s="6">
        <v>10464817</v>
      </c>
      <c r="E22" s="6">
        <v>5346764</v>
      </c>
      <c r="F22" s="6">
        <v>11457079</v>
      </c>
      <c r="G22" s="6">
        <v>1005928</v>
      </c>
      <c r="H22" s="6">
        <v>212496</v>
      </c>
      <c r="I22" s="6">
        <v>28478448</v>
      </c>
      <c r="K22" t="s">
        <v>681</v>
      </c>
      <c r="L22">
        <f t="shared" si="1"/>
        <v>0.3674644418825071</v>
      </c>
      <c r="M22">
        <f t="shared" ref="M22:M33" si="2">E22/$I22</f>
        <v>0.18774773119658769</v>
      </c>
      <c r="N22">
        <f t="shared" ref="N22:N33" si="3">F22/$I22</f>
        <v>0.4023070007185785</v>
      </c>
      <c r="O22">
        <f t="shared" ref="O22:O33" si="4">G22/$I22</f>
        <v>3.5322430491998721E-2</v>
      </c>
      <c r="P22">
        <f t="shared" ref="P22:P33" si="5">H22/$I22</f>
        <v>7.4616425726570495E-3</v>
      </c>
    </row>
    <row r="23" spans="3:16" x14ac:dyDescent="0.45">
      <c r="C23">
        <v>1979</v>
      </c>
      <c r="D23" s="6">
        <v>13697516</v>
      </c>
      <c r="E23" s="6">
        <v>4313821</v>
      </c>
      <c r="F23" s="6">
        <v>11532348</v>
      </c>
      <c r="G23" s="6">
        <v>636803</v>
      </c>
      <c r="H23" s="6">
        <v>345553</v>
      </c>
      <c r="I23" s="6">
        <v>30526041</v>
      </c>
      <c r="K23">
        <v>1979</v>
      </c>
      <c r="L23">
        <f t="shared" si="1"/>
        <v>0.44871577025006287</v>
      </c>
      <c r="M23">
        <f t="shared" si="2"/>
        <v>0.14131609795059896</v>
      </c>
      <c r="N23">
        <f t="shared" si="3"/>
        <v>0.37778721452939146</v>
      </c>
      <c r="O23">
        <f t="shared" si="4"/>
        <v>2.0860975715783124E-2</v>
      </c>
      <c r="P23">
        <f t="shared" si="5"/>
        <v>1.1319941554163541E-2</v>
      </c>
    </row>
    <row r="24" spans="3:16" x14ac:dyDescent="0.45">
      <c r="C24">
        <v>1983</v>
      </c>
      <c r="D24" s="6">
        <v>13012592</v>
      </c>
      <c r="E24" s="6">
        <v>7780589</v>
      </c>
      <c r="F24" s="6">
        <v>8457118</v>
      </c>
      <c r="G24" s="6">
        <v>457284</v>
      </c>
      <c r="H24" s="6">
        <v>198381</v>
      </c>
      <c r="I24" s="6">
        <v>29905964</v>
      </c>
      <c r="K24">
        <v>1983</v>
      </c>
      <c r="L24">
        <f t="shared" si="1"/>
        <v>0.43511695526684913</v>
      </c>
      <c r="M24">
        <f t="shared" si="2"/>
        <v>0.26016847341888061</v>
      </c>
      <c r="N24">
        <f t="shared" si="3"/>
        <v>0.28279034910896034</v>
      </c>
      <c r="O24">
        <f t="shared" si="4"/>
        <v>1.529072930068397E-2</v>
      </c>
      <c r="P24">
        <f t="shared" si="5"/>
        <v>6.6334929046259804E-3</v>
      </c>
    </row>
    <row r="25" spans="3:16" x14ac:dyDescent="0.45">
      <c r="C25">
        <v>1987</v>
      </c>
      <c r="D25" s="6">
        <v>13760959</v>
      </c>
      <c r="E25" s="6">
        <v>7341650</v>
      </c>
      <c r="F25" s="6">
        <v>10029103</v>
      </c>
      <c r="G25" s="6">
        <v>540072</v>
      </c>
      <c r="H25" s="6">
        <v>127213</v>
      </c>
      <c r="I25" s="6">
        <v>31798537</v>
      </c>
      <c r="K25">
        <v>1987</v>
      </c>
      <c r="L25">
        <f t="shared" si="1"/>
        <v>0.43275446917573596</v>
      </c>
      <c r="M25">
        <f t="shared" si="2"/>
        <v>0.23088011879288661</v>
      </c>
      <c r="N25">
        <f t="shared" si="3"/>
        <v>0.31539510764284534</v>
      </c>
      <c r="O25">
        <f t="shared" si="4"/>
        <v>1.6984177605403671E-2</v>
      </c>
      <c r="P25">
        <f t="shared" si="5"/>
        <v>4.0005928574638515E-3</v>
      </c>
    </row>
    <row r="26" spans="3:16" x14ac:dyDescent="0.45">
      <c r="C26">
        <v>1992</v>
      </c>
      <c r="D26" s="6">
        <v>14049508</v>
      </c>
      <c r="E26" s="6">
        <v>6027038</v>
      </c>
      <c r="F26" s="6">
        <v>11557062</v>
      </c>
      <c r="G26" s="6">
        <v>786348</v>
      </c>
      <c r="H26" s="6">
        <v>404960</v>
      </c>
      <c r="I26" s="6">
        <v>32824916</v>
      </c>
      <c r="K26">
        <v>1992</v>
      </c>
      <c r="L26">
        <f t="shared" si="1"/>
        <v>0.42801352484801486</v>
      </c>
      <c r="M26">
        <f t="shared" si="2"/>
        <v>0.18361168083415658</v>
      </c>
      <c r="N26">
        <f t="shared" si="3"/>
        <v>0.35208199771173826</v>
      </c>
      <c r="O26">
        <f t="shared" si="4"/>
        <v>2.3955826726258796E-2</v>
      </c>
      <c r="P26">
        <f t="shared" si="5"/>
        <v>1.2336969879831529E-2</v>
      </c>
    </row>
    <row r="27" spans="3:16" x14ac:dyDescent="0.45">
      <c r="C27">
        <v>1997</v>
      </c>
      <c r="D27" s="6">
        <v>9591085</v>
      </c>
      <c r="E27" s="6">
        <v>5242947</v>
      </c>
      <c r="F27" s="6">
        <v>13518167</v>
      </c>
      <c r="G27" s="6">
        <v>782580</v>
      </c>
      <c r="H27" s="6">
        <v>1360743</v>
      </c>
      <c r="I27" s="6">
        <v>30495522</v>
      </c>
      <c r="K27">
        <v>1997</v>
      </c>
      <c r="L27">
        <f t="shared" si="1"/>
        <v>0.31450797923708274</v>
      </c>
      <c r="M27">
        <f t="shared" si="2"/>
        <v>0.1719251436325635</v>
      </c>
      <c r="N27">
        <f t="shared" si="3"/>
        <v>0.44328367292745474</v>
      </c>
      <c r="O27">
        <f t="shared" si="4"/>
        <v>2.5662128361009857E-2</v>
      </c>
      <c r="P27">
        <f t="shared" si="5"/>
        <v>4.462107584188918E-2</v>
      </c>
    </row>
    <row r="28" spans="3:16" x14ac:dyDescent="0.45">
      <c r="C28">
        <v>2001</v>
      </c>
      <c r="D28" s="6">
        <v>8355193</v>
      </c>
      <c r="E28" s="6">
        <v>4814321</v>
      </c>
      <c r="F28" s="6">
        <v>10724953</v>
      </c>
      <c r="G28" s="6">
        <v>660207</v>
      </c>
      <c r="H28" s="6">
        <v>1002335</v>
      </c>
      <c r="I28" s="6">
        <v>25557009</v>
      </c>
      <c r="K28">
        <v>2001</v>
      </c>
      <c r="L28">
        <f t="shared" si="1"/>
        <v>0.32692374135017127</v>
      </c>
      <c r="M28">
        <f t="shared" si="2"/>
        <v>0.18837576024643574</v>
      </c>
      <c r="N28">
        <f t="shared" si="3"/>
        <v>0.41964820687741666</v>
      </c>
      <c r="O28">
        <f t="shared" si="4"/>
        <v>2.5832717748778818E-2</v>
      </c>
      <c r="P28">
        <f t="shared" si="5"/>
        <v>3.9219573777197481E-2</v>
      </c>
    </row>
    <row r="29" spans="3:16" x14ac:dyDescent="0.45">
      <c r="C29">
        <v>2005</v>
      </c>
      <c r="D29" s="6">
        <v>8783224</v>
      </c>
      <c r="E29" s="6">
        <v>5985704</v>
      </c>
      <c r="F29" s="6">
        <v>9552372</v>
      </c>
      <c r="G29" s="6">
        <v>587105</v>
      </c>
      <c r="H29" s="6">
        <v>1523325</v>
      </c>
      <c r="I29" s="6">
        <v>26431730</v>
      </c>
      <c r="K29">
        <v>2005</v>
      </c>
      <c r="L29">
        <f t="shared" si="1"/>
        <v>0.33229849124518146</v>
      </c>
      <c r="M29">
        <f t="shared" si="2"/>
        <v>0.22645903238267037</v>
      </c>
      <c r="N29">
        <f t="shared" si="3"/>
        <v>0.36139791076861028</v>
      </c>
      <c r="O29">
        <f t="shared" si="4"/>
        <v>2.2212129134188342E-2</v>
      </c>
      <c r="P29">
        <f t="shared" si="5"/>
        <v>5.7632436469349527E-2</v>
      </c>
    </row>
    <row r="30" spans="3:16" x14ac:dyDescent="0.45">
      <c r="C30">
        <v>2010</v>
      </c>
      <c r="D30" s="6">
        <v>10703654</v>
      </c>
      <c r="E30" s="6">
        <v>6836248</v>
      </c>
      <c r="F30" s="6">
        <v>8606517</v>
      </c>
      <c r="G30" s="6">
        <v>656780</v>
      </c>
      <c r="H30" s="6">
        <v>2210534</v>
      </c>
      <c r="I30" s="6">
        <v>29013733</v>
      </c>
      <c r="K30">
        <v>2010</v>
      </c>
      <c r="L30">
        <f t="shared" si="1"/>
        <v>0.36891681604707677</v>
      </c>
      <c r="M30">
        <f t="shared" si="2"/>
        <v>0.23562111087187573</v>
      </c>
      <c r="N30">
        <f t="shared" si="3"/>
        <v>0.29663597579808154</v>
      </c>
      <c r="O30">
        <f t="shared" si="4"/>
        <v>2.2636866479745988E-2</v>
      </c>
      <c r="P30">
        <f t="shared" si="5"/>
        <v>7.6189230803219973E-2</v>
      </c>
    </row>
    <row r="31" spans="3:16" x14ac:dyDescent="0.45">
      <c r="C31">
        <v>2015</v>
      </c>
      <c r="D31" s="6">
        <v>11290554</v>
      </c>
      <c r="E31" s="6">
        <v>2415916</v>
      </c>
      <c r="F31" s="6">
        <v>9347273</v>
      </c>
      <c r="G31" s="6">
        <v>1636140</v>
      </c>
      <c r="H31" s="6">
        <v>5289539</v>
      </c>
      <c r="I31" s="6">
        <v>29979422</v>
      </c>
      <c r="K31">
        <v>2015</v>
      </c>
      <c r="L31">
        <f t="shared" si="1"/>
        <v>0.37661012944145489</v>
      </c>
      <c r="M31">
        <f t="shared" si="2"/>
        <v>8.0585809826486984E-2</v>
      </c>
      <c r="N31">
        <f t="shared" si="3"/>
        <v>0.31178963356931966</v>
      </c>
      <c r="O31">
        <f t="shared" si="4"/>
        <v>5.4575435110123201E-2</v>
      </c>
      <c r="P31">
        <f t="shared" si="5"/>
        <v>0.17643899205261529</v>
      </c>
    </row>
    <row r="32" spans="3:16" x14ac:dyDescent="0.45">
      <c r="C32">
        <v>2017</v>
      </c>
      <c r="D32" s="6">
        <v>13632789</v>
      </c>
      <c r="E32" s="6">
        <v>2371861</v>
      </c>
      <c r="F32" s="6">
        <v>12877918</v>
      </c>
      <c r="G32" s="6">
        <v>1142034</v>
      </c>
      <c r="H32" s="6">
        <v>1367399</v>
      </c>
      <c r="I32" s="6">
        <v>31392001</v>
      </c>
      <c r="K32">
        <v>2017</v>
      </c>
      <c r="L32">
        <f t="shared" si="1"/>
        <v>0.43427588448407606</v>
      </c>
      <c r="M32">
        <f t="shared" si="2"/>
        <v>7.5556222108937879E-2</v>
      </c>
      <c r="N32">
        <f t="shared" si="3"/>
        <v>0.41022928101970946</v>
      </c>
      <c r="O32">
        <f t="shared" si="4"/>
        <v>3.6379777128574889E-2</v>
      </c>
      <c r="P32">
        <f t="shared" si="5"/>
        <v>4.3558835258701731E-2</v>
      </c>
    </row>
    <row r="33" spans="2:16" x14ac:dyDescent="0.45">
      <c r="C33">
        <v>2019</v>
      </c>
      <c r="D33" s="6">
        <v>13961021</v>
      </c>
      <c r="E33" s="6">
        <v>3696419</v>
      </c>
      <c r="F33" s="6">
        <v>10269051</v>
      </c>
      <c r="G33" s="6">
        <v>1395645</v>
      </c>
      <c r="H33" s="6">
        <v>1892939</v>
      </c>
      <c r="I33" s="6">
        <v>31215075</v>
      </c>
      <c r="K33">
        <v>2019</v>
      </c>
      <c r="L33">
        <f t="shared" si="1"/>
        <v>0.4472525214179367</v>
      </c>
      <c r="M33">
        <f t="shared" si="2"/>
        <v>0.11841775167927676</v>
      </c>
      <c r="N33">
        <f t="shared" si="3"/>
        <v>0.32897729702715756</v>
      </c>
      <c r="O33">
        <f t="shared" si="4"/>
        <v>4.47106085761447E-2</v>
      </c>
      <c r="P33">
        <f t="shared" si="5"/>
        <v>6.0641821299484304E-2</v>
      </c>
    </row>
    <row r="36" spans="2:16" x14ac:dyDescent="0.45">
      <c r="B36" s="14" t="s">
        <v>682</v>
      </c>
    </row>
    <row r="39" spans="2:16" x14ac:dyDescent="0.45">
      <c r="D39" t="s">
        <v>148</v>
      </c>
      <c r="E39" t="s">
        <v>238</v>
      </c>
      <c r="F39" t="s">
        <v>15</v>
      </c>
      <c r="G39" t="s">
        <v>20</v>
      </c>
      <c r="H39" t="s">
        <v>8</v>
      </c>
      <c r="I39" t="s">
        <v>142</v>
      </c>
      <c r="J39" t="s">
        <v>149</v>
      </c>
      <c r="K39" t="s">
        <v>683</v>
      </c>
      <c r="L39" t="s">
        <v>684</v>
      </c>
    </row>
    <row r="40" spans="2:16" x14ac:dyDescent="0.45">
      <c r="C40">
        <v>1918</v>
      </c>
      <c r="D40" s="10">
        <v>0</v>
      </c>
      <c r="E40" s="10">
        <v>0</v>
      </c>
      <c r="F40" s="10">
        <v>0.40315174431220502</v>
      </c>
      <c r="G40" s="10">
        <v>0.290422589166002</v>
      </c>
      <c r="H40" s="10">
        <v>0.26422253601013201</v>
      </c>
      <c r="I40" s="10">
        <v>0</v>
      </c>
      <c r="J40" s="10">
        <v>0</v>
      </c>
      <c r="K40" s="10">
        <v>0</v>
      </c>
      <c r="L40" s="10">
        <v>4.2099300510326003E-2</v>
      </c>
    </row>
    <row r="41" spans="2:16" x14ac:dyDescent="0.45">
      <c r="C41">
        <v>1922</v>
      </c>
      <c r="D41" s="10">
        <v>0</v>
      </c>
      <c r="E41" s="10">
        <v>0</v>
      </c>
      <c r="F41" s="10">
        <v>0.39084246534922001</v>
      </c>
      <c r="G41" s="10">
        <v>0.29067601402544802</v>
      </c>
      <c r="H41" s="10">
        <v>0.29966919186555802</v>
      </c>
      <c r="I41" s="10">
        <v>0</v>
      </c>
      <c r="J41" s="10">
        <v>9.3407935235597099E-4</v>
      </c>
      <c r="K41" s="10">
        <v>0</v>
      </c>
      <c r="L41" s="10">
        <v>1.7751182279155099E-2</v>
      </c>
    </row>
    <row r="42" spans="2:16" x14ac:dyDescent="0.45">
      <c r="C42">
        <v>1923</v>
      </c>
      <c r="D42" s="10">
        <v>0</v>
      </c>
      <c r="E42" s="10">
        <v>0</v>
      </c>
      <c r="F42" s="10">
        <v>0.37836710042676303</v>
      </c>
      <c r="G42" s="10">
        <v>0.29943523178884901</v>
      </c>
      <c r="H42" s="10">
        <v>0.31198230337252097</v>
      </c>
      <c r="I42" s="10">
        <v>0</v>
      </c>
      <c r="J42" s="10">
        <v>1.7496156736162001E-3</v>
      </c>
      <c r="K42" s="10">
        <v>0</v>
      </c>
      <c r="L42" s="10">
        <v>8.4473722534691102E-3</v>
      </c>
    </row>
    <row r="43" spans="2:16" x14ac:dyDescent="0.45">
      <c r="C43">
        <v>1924</v>
      </c>
      <c r="D43" s="10">
        <v>1.19367561859421E-2</v>
      </c>
      <c r="E43" s="10">
        <v>0</v>
      </c>
      <c r="F43" s="10">
        <v>0.45839504339058401</v>
      </c>
      <c r="G43" s="10">
        <v>0.18173776596166699</v>
      </c>
      <c r="H43" s="10">
        <v>0.342696191866804</v>
      </c>
      <c r="I43" s="10">
        <v>0</v>
      </c>
      <c r="J43" s="10">
        <v>2.9280284064806201E-3</v>
      </c>
      <c r="K43" s="10">
        <v>0</v>
      </c>
      <c r="L43" s="10">
        <v>2.3007964523631698E-3</v>
      </c>
    </row>
    <row r="44" spans="2:16" x14ac:dyDescent="0.45">
      <c r="C44">
        <v>1929</v>
      </c>
      <c r="D44" s="10">
        <v>0</v>
      </c>
      <c r="E44" s="10">
        <v>0</v>
      </c>
      <c r="F44" s="10">
        <v>0.37410669926649898</v>
      </c>
      <c r="G44" s="10">
        <v>0.23657671985178899</v>
      </c>
      <c r="H44" s="10">
        <v>0.37925114311451302</v>
      </c>
      <c r="I44" s="10">
        <v>0</v>
      </c>
      <c r="J44" s="10">
        <v>2.27244538802493E-3</v>
      </c>
      <c r="K44" s="10">
        <v>0</v>
      </c>
      <c r="L44" s="10">
        <v>7.0927741280486399E-3</v>
      </c>
    </row>
    <row r="45" spans="2:16" x14ac:dyDescent="0.45">
      <c r="C45">
        <v>1931</v>
      </c>
      <c r="D45" s="10">
        <v>0</v>
      </c>
      <c r="E45" s="10">
        <v>0</v>
      </c>
      <c r="F45" s="10">
        <v>0.55076792237584404</v>
      </c>
      <c r="G45" s="10">
        <v>0.100822903941824</v>
      </c>
      <c r="H45" s="10">
        <v>0.29810335792926301</v>
      </c>
      <c r="I45" s="10">
        <v>8.8206607758844796E-4</v>
      </c>
      <c r="J45" s="10">
        <v>3.8838273804198499E-2</v>
      </c>
      <c r="K45" s="10">
        <v>0</v>
      </c>
      <c r="L45" s="10">
        <v>1.0414448127226699E-2</v>
      </c>
    </row>
    <row r="46" spans="2:16" x14ac:dyDescent="0.45">
      <c r="C46">
        <v>1935</v>
      </c>
      <c r="D46" s="10">
        <v>0</v>
      </c>
      <c r="E46" s="10">
        <v>0</v>
      </c>
      <c r="F46" s="10">
        <v>0.47689367779372999</v>
      </c>
      <c r="G46" s="10">
        <v>0.10633396861330401</v>
      </c>
      <c r="H46" s="10">
        <v>0.38626472243226201</v>
      </c>
      <c r="I46" s="10">
        <v>0</v>
      </c>
      <c r="J46" s="10">
        <v>2.11227876404598E-2</v>
      </c>
      <c r="K46" s="10">
        <v>0</v>
      </c>
      <c r="L46" s="10">
        <v>9.3456195063597106E-3</v>
      </c>
    </row>
    <row r="47" spans="2:16" x14ac:dyDescent="0.45">
      <c r="C47">
        <v>1945</v>
      </c>
      <c r="D47" s="10">
        <v>0</v>
      </c>
      <c r="E47" s="10">
        <v>0</v>
      </c>
      <c r="F47" s="10">
        <v>0.36024811284870101</v>
      </c>
      <c r="G47" s="10">
        <v>0.121098828332181</v>
      </c>
      <c r="H47" s="10">
        <v>0.49066915250968401</v>
      </c>
      <c r="I47" s="10">
        <v>0</v>
      </c>
      <c r="J47" s="10">
        <v>1.0705540108327E-2</v>
      </c>
      <c r="K47" s="10">
        <v>0</v>
      </c>
      <c r="L47" s="10">
        <v>1.7278237623019801E-2</v>
      </c>
    </row>
    <row r="48" spans="2:16" x14ac:dyDescent="0.45">
      <c r="C48">
        <v>1950</v>
      </c>
      <c r="D48" s="10">
        <v>3.5340456632945598E-2</v>
      </c>
      <c r="E48" s="10">
        <v>0</v>
      </c>
      <c r="F48" s="10">
        <v>0.396572313944559</v>
      </c>
      <c r="G48" s="10">
        <v>9.3162226195311101E-2</v>
      </c>
      <c r="H48" s="10">
        <v>0.46783537960497101</v>
      </c>
      <c r="I48" s="10">
        <v>1.0198574945141399E-4</v>
      </c>
      <c r="J48" s="10">
        <v>4.0456593924990897E-3</v>
      </c>
      <c r="K48" s="10">
        <v>0</v>
      </c>
      <c r="L48" s="10">
        <v>2.9419784802619301E-3</v>
      </c>
    </row>
    <row r="49" spans="3:24" x14ac:dyDescent="0.45">
      <c r="C49">
        <v>1951</v>
      </c>
      <c r="D49" s="10">
        <v>3.7587971229279801E-2</v>
      </c>
      <c r="E49" s="10">
        <v>0</v>
      </c>
      <c r="F49" s="10">
        <v>0.43963478203439199</v>
      </c>
      <c r="G49" s="10">
        <v>2.5968181614113899E-2</v>
      </c>
      <c r="H49" s="10">
        <v>0.48688788932002203</v>
      </c>
      <c r="I49" s="10">
        <v>2.5945218727009301E-4</v>
      </c>
      <c r="J49" s="10">
        <v>8.7312645857433001E-3</v>
      </c>
      <c r="K49" s="10">
        <v>0</v>
      </c>
      <c r="L49" s="10">
        <v>9.3045902917960905E-4</v>
      </c>
    </row>
    <row r="50" spans="3:24" x14ac:dyDescent="0.45">
      <c r="C50">
        <v>1955</v>
      </c>
      <c r="D50" s="10">
        <v>0</v>
      </c>
      <c r="E50" s="10">
        <v>0</v>
      </c>
      <c r="F50" s="10">
        <v>0.49182406565072101</v>
      </c>
      <c r="G50" s="10">
        <v>2.7663962519264E-2</v>
      </c>
      <c r="H50" s="10">
        <v>0.47368813671167698</v>
      </c>
      <c r="I50" s="10">
        <v>4.63821963440474E-4</v>
      </c>
      <c r="J50" s="10">
        <v>1.7278057437641E-3</v>
      </c>
      <c r="K50" s="10">
        <v>0</v>
      </c>
      <c r="L50" s="10">
        <v>4.6322074111336004E-3</v>
      </c>
    </row>
    <row r="51" spans="3:24" x14ac:dyDescent="0.45">
      <c r="C51">
        <v>1959</v>
      </c>
      <c r="D51" s="10">
        <v>0</v>
      </c>
      <c r="E51" s="10">
        <v>0</v>
      </c>
      <c r="F51" s="10">
        <v>0.48762909263276499</v>
      </c>
      <c r="G51" s="10">
        <v>6.0012019943915501E-2</v>
      </c>
      <c r="H51" s="10">
        <v>0.44607852353250899</v>
      </c>
      <c r="I51" s="10">
        <v>7.9666303077839304E-4</v>
      </c>
      <c r="J51" s="10">
        <v>2.8428534345620901E-3</v>
      </c>
      <c r="K51" s="10">
        <v>0</v>
      </c>
      <c r="L51" s="10">
        <v>2.6408474254696998E-3</v>
      </c>
    </row>
    <row r="52" spans="3:24" x14ac:dyDescent="0.45">
      <c r="C52">
        <v>1964</v>
      </c>
      <c r="D52" s="10">
        <v>0</v>
      </c>
      <c r="E52" s="10">
        <v>0</v>
      </c>
      <c r="F52" s="10">
        <v>0.42943111857126098</v>
      </c>
      <c r="G52" s="10">
        <v>0.11405595502376201</v>
      </c>
      <c r="H52" s="10">
        <v>0.44788603408538202</v>
      </c>
      <c r="I52" s="10">
        <v>2.3701388265407299E-3</v>
      </c>
      <c r="J52" s="10">
        <v>2.5723134004179398E-3</v>
      </c>
      <c r="K52" s="10">
        <v>0</v>
      </c>
      <c r="L52" s="10">
        <v>3.68444009263541E-3</v>
      </c>
    </row>
    <row r="53" spans="3:24" x14ac:dyDescent="0.45">
      <c r="C53">
        <v>1966</v>
      </c>
      <c r="D53" s="10">
        <v>0</v>
      </c>
      <c r="E53" s="10">
        <v>0</v>
      </c>
      <c r="F53" s="10">
        <v>0.41434213753087001</v>
      </c>
      <c r="G53" s="10">
        <v>8.6182604541564997E-2</v>
      </c>
      <c r="H53" s="10">
        <v>0.487220914387622</v>
      </c>
      <c r="I53" s="10">
        <v>4.81747270358785E-3</v>
      </c>
      <c r="J53" s="10">
        <v>2.2900188013202198E-3</v>
      </c>
      <c r="K53" s="10">
        <v>0</v>
      </c>
      <c r="L53" s="10">
        <v>5.1468520350348001E-3</v>
      </c>
    </row>
    <row r="54" spans="3:24" x14ac:dyDescent="0.45">
      <c r="C54">
        <v>1970</v>
      </c>
      <c r="D54" s="10">
        <v>0</v>
      </c>
      <c r="E54" s="10">
        <v>0</v>
      </c>
      <c r="F54" s="10">
        <v>0.46155695180475798</v>
      </c>
      <c r="G54" s="10">
        <v>7.6357681080283193E-2</v>
      </c>
      <c r="H54" s="10">
        <v>0.43827221471060201</v>
      </c>
      <c r="I54" s="10">
        <v>1.1129951530973301E-2</v>
      </c>
      <c r="J54" s="10">
        <v>6.3491098400428204E-3</v>
      </c>
      <c r="K54" s="10">
        <v>0</v>
      </c>
      <c r="L54" s="10">
        <v>6.3340910333407E-3</v>
      </c>
    </row>
    <row r="55" spans="3:24" x14ac:dyDescent="0.45">
      <c r="C55" t="s">
        <v>680</v>
      </c>
      <c r="D55" s="10">
        <v>0</v>
      </c>
      <c r="E55" s="10">
        <v>0</v>
      </c>
      <c r="F55" s="10">
        <v>0.38651531456018201</v>
      </c>
      <c r="G55" s="10">
        <v>0.19790775716234299</v>
      </c>
      <c r="H55" s="10">
        <v>0.38020521357792503</v>
      </c>
      <c r="I55" s="10">
        <v>2.06600994733434E-2</v>
      </c>
      <c r="J55" s="10">
        <v>5.5968289556762099E-3</v>
      </c>
      <c r="K55" s="10">
        <v>0</v>
      </c>
      <c r="L55" s="10">
        <v>9.1147862705308596E-3</v>
      </c>
    </row>
    <row r="56" spans="3:24" x14ac:dyDescent="0.45">
      <c r="C56" t="s">
        <v>681</v>
      </c>
      <c r="D56" s="10">
        <v>0</v>
      </c>
      <c r="E56" s="10">
        <v>0</v>
      </c>
      <c r="F56" s="10">
        <v>0.36735304322478202</v>
      </c>
      <c r="G56" s="10">
        <v>0.18769081454598899</v>
      </c>
      <c r="H56" s="10">
        <v>0.40218503936731498</v>
      </c>
      <c r="I56" s="10">
        <v>2.9473602844011699E-2</v>
      </c>
      <c r="J56" s="10">
        <v>5.8381194789891401E-3</v>
      </c>
      <c r="K56" s="10">
        <v>0</v>
      </c>
      <c r="L56" s="10">
        <v>7.4593805389137104E-3</v>
      </c>
    </row>
    <row r="57" spans="3:24" x14ac:dyDescent="0.45">
      <c r="C57">
        <v>1979</v>
      </c>
      <c r="D57" s="10">
        <v>0</v>
      </c>
      <c r="E57" s="10">
        <v>0</v>
      </c>
      <c r="F57" s="10">
        <v>0.44871577025006298</v>
      </c>
      <c r="G57" s="10">
        <v>0.14131609795059899</v>
      </c>
      <c r="H57" s="10">
        <v>0.37778721452939101</v>
      </c>
      <c r="I57" s="10">
        <v>1.6518978009627899E-2</v>
      </c>
      <c r="J57" s="10">
        <v>4.34199770615521E-3</v>
      </c>
      <c r="K57" s="10">
        <v>0</v>
      </c>
      <c r="L57" s="10">
        <v>1.13199415541635E-2</v>
      </c>
      <c r="N57" t="s">
        <v>685</v>
      </c>
    </row>
    <row r="58" spans="3:24" x14ac:dyDescent="0.45">
      <c r="C58">
        <v>1983</v>
      </c>
      <c r="D58" s="10">
        <v>0</v>
      </c>
      <c r="E58" s="10">
        <v>0</v>
      </c>
      <c r="F58" s="10">
        <v>0.43511695526684901</v>
      </c>
      <c r="G58" s="10">
        <v>0.260168473418881</v>
      </c>
      <c r="H58" s="10">
        <v>0.28279034910896</v>
      </c>
      <c r="I58" s="10">
        <v>1.11006286237755E-2</v>
      </c>
      <c r="J58" s="10">
        <v>4.1901006769084603E-3</v>
      </c>
      <c r="K58" s="10">
        <v>0</v>
      </c>
      <c r="L58" s="10">
        <v>6.6334929046259804E-3</v>
      </c>
    </row>
    <row r="59" spans="3:24" x14ac:dyDescent="0.45">
      <c r="C59">
        <v>1987</v>
      </c>
      <c r="D59" s="10">
        <v>0</v>
      </c>
      <c r="E59" s="10">
        <v>0</v>
      </c>
      <c r="F59" s="10">
        <v>0.43274000310140098</v>
      </c>
      <c r="G59" s="10">
        <v>0.230880118792887</v>
      </c>
      <c r="H59" s="10">
        <v>0.31539510764284501</v>
      </c>
      <c r="I59" s="10">
        <v>1.3097237775436E-2</v>
      </c>
      <c r="J59" s="10">
        <v>3.88693982996765E-3</v>
      </c>
      <c r="K59" s="10">
        <v>0</v>
      </c>
      <c r="L59" s="10">
        <v>4.0005928574638498E-3</v>
      </c>
      <c r="O59" t="s">
        <v>148</v>
      </c>
      <c r="P59" t="s">
        <v>238</v>
      </c>
      <c r="Q59" t="s">
        <v>15</v>
      </c>
      <c r="R59" t="s">
        <v>20</v>
      </c>
      <c r="S59" t="s">
        <v>8</v>
      </c>
      <c r="T59" t="s">
        <v>23</v>
      </c>
      <c r="U59" t="s">
        <v>26</v>
      </c>
      <c r="V59" t="s">
        <v>149</v>
      </c>
    </row>
    <row r="60" spans="3:24" x14ac:dyDescent="0.45">
      <c r="C60">
        <v>1992</v>
      </c>
      <c r="D60" s="10">
        <v>0</v>
      </c>
      <c r="E60" s="10">
        <v>0</v>
      </c>
      <c r="F60" s="10">
        <v>0.42801352484801503</v>
      </c>
      <c r="G60" s="10">
        <v>0.18361168083415699</v>
      </c>
      <c r="H60" s="10">
        <v>0.35208199771173798</v>
      </c>
      <c r="I60" s="10">
        <v>1.9179089445346902E-2</v>
      </c>
      <c r="J60" s="10">
        <v>4.7767372809118499E-3</v>
      </c>
      <c r="K60" s="10">
        <v>0</v>
      </c>
      <c r="L60" s="10">
        <v>1.2336969879831501E-2</v>
      </c>
      <c r="N60">
        <v>1992</v>
      </c>
      <c r="O60" s="15">
        <v>1.6801197086053995E-3</v>
      </c>
      <c r="P60" s="15">
        <v>0</v>
      </c>
      <c r="Q60" s="15">
        <v>0.42937084436936895</v>
      </c>
      <c r="R60" s="15">
        <v>0.18361097603469936</v>
      </c>
      <c r="S60" s="15">
        <v>0.35208064623344582</v>
      </c>
      <c r="T60" s="15">
        <v>5.180404643503579E-3</v>
      </c>
      <c r="U60" s="15">
        <v>1.9179015825783255E-2</v>
      </c>
      <c r="V60" s="15">
        <v>8.8979931845936406E-3</v>
      </c>
      <c r="W60" s="16"/>
      <c r="X60" s="16"/>
    </row>
    <row r="61" spans="3:24" x14ac:dyDescent="0.45">
      <c r="C61">
        <v>1997</v>
      </c>
      <c r="D61" s="10">
        <v>0</v>
      </c>
      <c r="E61" s="10">
        <v>0</v>
      </c>
      <c r="F61" s="10">
        <v>0.31450797923708301</v>
      </c>
      <c r="G61" s="10">
        <v>0.171925143632564</v>
      </c>
      <c r="H61" s="10">
        <v>0.44328367292745502</v>
      </c>
      <c r="I61" s="10">
        <v>2.0381680956305701E-2</v>
      </c>
      <c r="J61" s="10">
        <v>5.28044740470421E-3</v>
      </c>
      <c r="K61" s="10">
        <v>0</v>
      </c>
      <c r="L61" s="10">
        <v>4.46210758418892E-2</v>
      </c>
      <c r="N61">
        <v>1997</v>
      </c>
      <c r="O61" s="15">
        <v>2.4795777524738096E-3</v>
      </c>
      <c r="P61" s="15">
        <v>2.6873893211156633E-2</v>
      </c>
      <c r="Q61" s="15">
        <v>0.3174848944435803</v>
      </c>
      <c r="R61" s="15">
        <v>0.17355246824194406</v>
      </c>
      <c r="S61" s="15">
        <v>0.44827291370065103</v>
      </c>
      <c r="T61" s="15">
        <v>2.0434247031380346E-3</v>
      </c>
      <c r="U61" s="15">
        <v>2.0574599864499932E-2</v>
      </c>
      <c r="V61" s="15">
        <v>8.7182280825561977E-3</v>
      </c>
      <c r="W61" s="16"/>
      <c r="X61" s="16"/>
    </row>
    <row r="62" spans="3:24" x14ac:dyDescent="0.45">
      <c r="C62">
        <v>2001</v>
      </c>
      <c r="D62" s="10">
        <v>0</v>
      </c>
      <c r="E62" s="10">
        <v>0</v>
      </c>
      <c r="F62" s="10">
        <v>0.32692374135017099</v>
      </c>
      <c r="G62" s="10">
        <v>0.18837576024643601</v>
      </c>
      <c r="H62" s="10">
        <v>0.419648206877417</v>
      </c>
      <c r="I62" s="10">
        <v>1.8167775423172602E-2</v>
      </c>
      <c r="J62" s="10">
        <v>7.6649423256062599E-3</v>
      </c>
      <c r="K62" s="10">
        <v>0</v>
      </c>
      <c r="L62" s="10">
        <v>3.9219573777197501E-2</v>
      </c>
      <c r="N62">
        <v>2001</v>
      </c>
      <c r="O62" s="15">
        <v>4.347664229347477E-3</v>
      </c>
      <c r="P62" s="15">
        <v>1.5320955187687909E-2</v>
      </c>
      <c r="Q62" s="15">
        <v>0.32785144750257522</v>
      </c>
      <c r="R62" s="15">
        <v>0.18885556568375611</v>
      </c>
      <c r="S62" s="15">
        <v>0.42134680345216252</v>
      </c>
      <c r="T62" s="15">
        <v>6.5305383684084771E-3</v>
      </c>
      <c r="U62" s="15">
        <v>1.8214049940767876E-2</v>
      </c>
      <c r="V62" s="15">
        <v>1.75329756352944E-2</v>
      </c>
      <c r="W62" s="16"/>
      <c r="X62" s="16"/>
    </row>
    <row r="63" spans="3:24" x14ac:dyDescent="0.45">
      <c r="C63">
        <v>2005</v>
      </c>
      <c r="D63" s="10">
        <v>0</v>
      </c>
      <c r="E63" s="10">
        <v>0</v>
      </c>
      <c r="F63" s="10">
        <v>0.33229849124518102</v>
      </c>
      <c r="G63" s="10">
        <v>0.22645903238267001</v>
      </c>
      <c r="H63" s="10">
        <v>0.36139791076861</v>
      </c>
      <c r="I63" s="10">
        <v>1.55974277884951E-2</v>
      </c>
      <c r="J63" s="10">
        <v>6.6147013456932299E-3</v>
      </c>
      <c r="K63" s="10">
        <v>0</v>
      </c>
      <c r="L63" s="10">
        <v>5.7632436469349499E-2</v>
      </c>
      <c r="N63">
        <v>2005</v>
      </c>
      <c r="O63" s="15">
        <v>1.1214166092779483E-2</v>
      </c>
      <c r="P63" s="15">
        <v>2.3069941165602466E-2</v>
      </c>
      <c r="Q63" s="15">
        <v>0.33444967382180157</v>
      </c>
      <c r="R63" s="15">
        <v>0.22787165703656753</v>
      </c>
      <c r="S63" s="15">
        <v>0.36366989372163933</v>
      </c>
      <c r="T63" s="15">
        <v>9.8130806074913576E-3</v>
      </c>
      <c r="U63" s="15">
        <v>1.5695378233880768E-2</v>
      </c>
      <c r="V63" s="15">
        <v>1.42162093202375E-2</v>
      </c>
      <c r="W63" s="16"/>
      <c r="X63" s="16"/>
    </row>
    <row r="64" spans="3:24" x14ac:dyDescent="0.45">
      <c r="C64">
        <v>2010</v>
      </c>
      <c r="D64" s="10">
        <v>0</v>
      </c>
      <c r="E64" s="10">
        <v>3.16908892764678E-2</v>
      </c>
      <c r="F64" s="10">
        <v>0.36891681604707699</v>
      </c>
      <c r="G64" s="10">
        <v>0.23562111087187601</v>
      </c>
      <c r="H64" s="10">
        <v>0.29663597579808199</v>
      </c>
      <c r="I64" s="10">
        <v>1.69363246018704E-2</v>
      </c>
      <c r="J64" s="10">
        <v>5.7005418778755604E-3</v>
      </c>
      <c r="K64" s="10">
        <v>9.7219478789578699E-3</v>
      </c>
      <c r="L64" s="10">
        <v>3.47763936477943E-2</v>
      </c>
      <c r="N64">
        <v>2010</v>
      </c>
      <c r="O64" s="15">
        <v>2.3446645720395655E-2</v>
      </c>
      <c r="P64" s="15">
        <v>3.1936053570145416E-2</v>
      </c>
      <c r="Q64" s="15">
        <v>0.37174394880262462</v>
      </c>
      <c r="R64" s="15">
        <v>0.23744454058160858</v>
      </c>
      <c r="S64" s="15">
        <v>0.29980487509078052</v>
      </c>
      <c r="T64" s="15">
        <v>9.2120920555582436E-3</v>
      </c>
      <c r="U64" s="15">
        <v>1.7065953872475628E-2</v>
      </c>
      <c r="V64" s="15">
        <v>9.3458903064113658E-3</v>
      </c>
      <c r="W64" s="16"/>
      <c r="X64" s="16"/>
    </row>
    <row r="65" spans="3:24" x14ac:dyDescent="0.45">
      <c r="C65">
        <v>2015</v>
      </c>
      <c r="D65" s="10">
        <v>0</v>
      </c>
      <c r="E65" s="10">
        <v>0.12884754749441099</v>
      </c>
      <c r="F65" s="10">
        <v>0.376610129441455</v>
      </c>
      <c r="G65" s="10">
        <v>8.0585809826486998E-2</v>
      </c>
      <c r="H65" s="10">
        <v>0.31178963356931999</v>
      </c>
      <c r="I65" s="10">
        <v>4.85144776974019E-2</v>
      </c>
      <c r="J65" s="10">
        <v>6.0609574127213003E-3</v>
      </c>
      <c r="K65" s="10">
        <v>3.8386597313317103E-2</v>
      </c>
      <c r="L65" s="10">
        <v>9.2048472448868403E-3</v>
      </c>
      <c r="N65">
        <v>2015</v>
      </c>
      <c r="O65" s="15">
        <v>1.65266588832043E-3</v>
      </c>
      <c r="P65" s="15">
        <v>0.12995836181366885</v>
      </c>
      <c r="Q65" s="15">
        <v>0.37952586197514998</v>
      </c>
      <c r="R65" s="15">
        <v>8.0896798983852658E-2</v>
      </c>
      <c r="S65" s="15">
        <v>0.31299286271881693</v>
      </c>
      <c r="T65" s="15">
        <v>3.722195823068665E-2</v>
      </c>
      <c r="U65" s="15">
        <v>4.8701700194410204E-2</v>
      </c>
      <c r="V65" s="15">
        <v>9.0497901950943021E-3</v>
      </c>
      <c r="W65" s="16"/>
      <c r="X65" s="16"/>
    </row>
    <row r="66" spans="3:24" x14ac:dyDescent="0.45">
      <c r="C66">
        <v>2017</v>
      </c>
      <c r="D66" s="10">
        <v>0</v>
      </c>
      <c r="E66" s="10">
        <v>1.89241839027719E-2</v>
      </c>
      <c r="F66" s="10">
        <v>0.434275884484076</v>
      </c>
      <c r="G66" s="10">
        <v>7.5556222108937907E-2</v>
      </c>
      <c r="H66" s="10">
        <v>0.41022928101970901</v>
      </c>
      <c r="I66" s="10">
        <v>3.1140671790880699E-2</v>
      </c>
      <c r="J66" s="10">
        <v>5.2391053376941504E-3</v>
      </c>
      <c r="K66" s="10">
        <v>1.6507804010327299E-2</v>
      </c>
      <c r="L66" s="10">
        <v>8.1268473456024698E-3</v>
      </c>
      <c r="N66">
        <v>2017</v>
      </c>
      <c r="O66" s="15">
        <v>2.7502825902641186E-3</v>
      </c>
      <c r="P66" s="15">
        <v>1.8951045100685203E-2</v>
      </c>
      <c r="Q66" s="15">
        <v>0.43611070686133691</v>
      </c>
      <c r="R66" s="15">
        <v>7.5663467454157279E-2</v>
      </c>
      <c r="S66" s="15">
        <v>0.41081156504125083</v>
      </c>
      <c r="T66" s="15">
        <v>1.634346923803125E-2</v>
      </c>
      <c r="U66" s="15">
        <v>3.1184873208095088E-2</v>
      </c>
      <c r="V66" s="15">
        <v>8.1845905061793435E-3</v>
      </c>
      <c r="W66" s="16"/>
      <c r="X66" s="16"/>
    </row>
    <row r="67" spans="3:24" x14ac:dyDescent="0.45">
      <c r="C67">
        <v>2019</v>
      </c>
      <c r="D67" s="10">
        <v>0</v>
      </c>
      <c r="E67" s="10">
        <v>2.06392904710304E-2</v>
      </c>
      <c r="F67" s="10">
        <v>0.44725252141793698</v>
      </c>
      <c r="G67" s="10">
        <v>0.118417751679277</v>
      </c>
      <c r="H67" s="10">
        <v>0.328977297027158</v>
      </c>
      <c r="I67" s="10">
        <v>3.9800641196601302E-2</v>
      </c>
      <c r="J67" s="10">
        <v>4.9099673795433797E-3</v>
      </c>
      <c r="K67" s="10">
        <v>2.7669931915909201E-2</v>
      </c>
      <c r="L67" s="10">
        <v>1.23325989125447E-2</v>
      </c>
      <c r="N67">
        <v>2019</v>
      </c>
      <c r="O67" s="15">
        <v>4.5198111364460128E-3</v>
      </c>
      <c r="P67" s="15">
        <v>2.0701760361532193E-2</v>
      </c>
      <c r="Q67" s="15">
        <v>0.44878081853726504</v>
      </c>
      <c r="R67" s="15">
        <v>0.11877617213909118</v>
      </c>
      <c r="S67" s="15">
        <v>0.33083518203855417</v>
      </c>
      <c r="T67" s="15">
        <v>2.6850044086156946E-2</v>
      </c>
      <c r="U67" s="15">
        <v>3.9921107629347245E-2</v>
      </c>
      <c r="V67" s="15">
        <v>9.6151040716072299E-3</v>
      </c>
      <c r="W67" s="16"/>
      <c r="X67" s="16"/>
    </row>
    <row r="68" spans="3:24" x14ac:dyDescent="0.45">
      <c r="N68">
        <v>2024</v>
      </c>
      <c r="O68" s="15">
        <v>1.0475893877665442E-2</v>
      </c>
      <c r="P68" s="15">
        <v>0.14836793006880072</v>
      </c>
      <c r="Q68" s="15">
        <v>0.24606288750420993</v>
      </c>
      <c r="R68" s="15">
        <v>0.12680333846399366</v>
      </c>
      <c r="S68" s="15">
        <v>0.35073819496819109</v>
      </c>
      <c r="T68" s="15">
        <v>6.6367734268476253E-2</v>
      </c>
      <c r="U68" s="15">
        <v>2.6114805217772371E-2</v>
      </c>
      <c r="V68" s="15">
        <v>2.5069215630890516E-2</v>
      </c>
      <c r="X68" s="16"/>
    </row>
  </sheetData>
  <conditionalFormatting sqref="D6:I3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0:L6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:P3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60:V6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63:V6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6727B-4BDE-4B0C-BF1D-F473D8272D4B}">
  <dimension ref="B2:AG42"/>
  <sheetViews>
    <sheetView topLeftCell="L15" workbookViewId="0">
      <selection activeCell="N46" sqref="N46"/>
    </sheetView>
  </sheetViews>
  <sheetFormatPr defaultRowHeight="14.25" x14ac:dyDescent="0.45"/>
  <cols>
    <col min="15" max="15" width="11.46484375" customWidth="1"/>
    <col min="16" max="16" width="9.9296875" bestFit="1" customWidth="1"/>
    <col min="17" max="17" width="11" bestFit="1" customWidth="1"/>
    <col min="18" max="18" width="12.53125" bestFit="1" customWidth="1"/>
    <col min="19" max="19" width="13.59765625" bestFit="1" customWidth="1"/>
    <col min="20" max="20" width="12.53125" bestFit="1" customWidth="1"/>
    <col min="21" max="21" width="13.59765625" bestFit="1" customWidth="1"/>
    <col min="22" max="23" width="12.53125" bestFit="1" customWidth="1"/>
    <col min="24" max="24" width="11" bestFit="1" customWidth="1"/>
  </cols>
  <sheetData>
    <row r="2" spans="2:33" x14ac:dyDescent="0.45">
      <c r="B2" t="s">
        <v>136</v>
      </c>
    </row>
    <row r="4" spans="2:33" x14ac:dyDescent="0.45">
      <c r="Q4" t="s">
        <v>151</v>
      </c>
      <c r="Z4" t="s">
        <v>239</v>
      </c>
    </row>
    <row r="5" spans="2:33" x14ac:dyDescent="0.45">
      <c r="D5" s="3">
        <v>2010</v>
      </c>
      <c r="E5" s="3">
        <v>2015</v>
      </c>
      <c r="F5" s="3">
        <v>2017</v>
      </c>
      <c r="G5" s="3">
        <v>2019</v>
      </c>
      <c r="H5" s="3">
        <v>2024</v>
      </c>
      <c r="I5" s="3" t="s">
        <v>144</v>
      </c>
      <c r="M5" t="s">
        <v>146</v>
      </c>
      <c r="N5" t="s">
        <v>537</v>
      </c>
      <c r="O5" t="s">
        <v>145</v>
      </c>
      <c r="Q5" t="s">
        <v>148</v>
      </c>
      <c r="R5" t="s">
        <v>238</v>
      </c>
      <c r="S5" t="s">
        <v>15</v>
      </c>
      <c r="T5" t="s">
        <v>20</v>
      </c>
      <c r="U5" t="s">
        <v>8</v>
      </c>
      <c r="V5" t="s">
        <v>23</v>
      </c>
      <c r="W5" t="s">
        <v>26</v>
      </c>
      <c r="X5" t="s">
        <v>149</v>
      </c>
      <c r="Z5" t="s">
        <v>148</v>
      </c>
      <c r="AA5" t="s">
        <v>238</v>
      </c>
      <c r="AB5" t="s">
        <v>15</v>
      </c>
      <c r="AC5" t="s">
        <v>20</v>
      </c>
      <c r="AD5" t="s">
        <v>8</v>
      </c>
      <c r="AE5" t="s">
        <v>23</v>
      </c>
      <c r="AF5" t="s">
        <v>26</v>
      </c>
      <c r="AG5" t="s">
        <v>149</v>
      </c>
    </row>
    <row r="6" spans="2:33" x14ac:dyDescent="0.45">
      <c r="C6" t="s">
        <v>137</v>
      </c>
      <c r="D6" s="3">
        <v>0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M6">
        <v>2010</v>
      </c>
      <c r="N6" s="11" t="s">
        <v>538</v>
      </c>
      <c r="O6" s="5">
        <v>38477</v>
      </c>
      <c r="P6" s="11"/>
      <c r="Q6" s="12">
        <v>294560</v>
      </c>
      <c r="R6" s="12">
        <v>605973</v>
      </c>
      <c r="S6" s="12">
        <v>8784915</v>
      </c>
      <c r="T6" s="12">
        <v>5985454</v>
      </c>
      <c r="U6" s="12">
        <v>9552436</v>
      </c>
      <c r="V6" s="12">
        <v>257758</v>
      </c>
      <c r="W6" s="12">
        <v>412267</v>
      </c>
      <c r="X6" s="12">
        <v>373414</v>
      </c>
      <c r="Y6" s="11"/>
      <c r="Z6" s="10">
        <f t="shared" ref="Z6:Z15" si="0">Q6/SUM($Q6:$X6)</f>
        <v>1.1214166092779483E-2</v>
      </c>
      <c r="AA6" s="10">
        <f t="shared" ref="AA6" si="1">R6/SUM($Q6:$X6)</f>
        <v>2.3069941165602466E-2</v>
      </c>
      <c r="AB6" s="10">
        <f t="shared" ref="AB6" si="2">S6/SUM($Q6:$X6)</f>
        <v>0.33444967382180157</v>
      </c>
      <c r="AC6" s="10">
        <f t="shared" ref="AC6" si="3">T6/SUM($Q6:$X6)</f>
        <v>0.22787165703656753</v>
      </c>
      <c r="AD6" s="10">
        <f t="shared" ref="AD6" si="4">U6/SUM($Q6:$X6)</f>
        <v>0.36366989372163933</v>
      </c>
      <c r="AE6" s="10">
        <f t="shared" ref="AE6" si="5">V6/SUM($Q6:$X6)</f>
        <v>9.8130806074913576E-3</v>
      </c>
      <c r="AF6" s="10">
        <f t="shared" ref="AF6" si="6">W6/SUM($Q6:$X6)</f>
        <v>1.5695378233880768E-2</v>
      </c>
      <c r="AG6" s="10">
        <f t="shared" ref="AG6" si="7">X6/SUM($Q6:$X6)</f>
        <v>1.42162093202375E-2</v>
      </c>
    </row>
    <row r="7" spans="2:33" x14ac:dyDescent="0.45">
      <c r="C7" t="s">
        <v>138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M7">
        <v>2010</v>
      </c>
      <c r="N7" s="11" t="s">
        <v>539</v>
      </c>
      <c r="O7" s="5">
        <v>40304</v>
      </c>
      <c r="P7" s="11"/>
      <c r="Q7" s="12">
        <v>675107.5</v>
      </c>
      <c r="R7" s="12">
        <v>919546</v>
      </c>
      <c r="S7" s="12">
        <v>10703754</v>
      </c>
      <c r="T7" s="12">
        <v>6836824</v>
      </c>
      <c r="U7" s="12">
        <v>8632387</v>
      </c>
      <c r="V7" s="12">
        <v>265247</v>
      </c>
      <c r="W7" s="12">
        <v>491386</v>
      </c>
      <c r="X7" s="12">
        <v>269099.5</v>
      </c>
      <c r="Y7" s="11"/>
      <c r="Z7" s="10">
        <f t="shared" si="0"/>
        <v>2.3446645720395655E-2</v>
      </c>
      <c r="AA7" s="10">
        <f t="shared" ref="AA7" si="8">R7/SUM($Q7:$X7)</f>
        <v>3.1936053570145416E-2</v>
      </c>
      <c r="AB7" s="10">
        <f t="shared" ref="AB7" si="9">S7/SUM($Q7:$X7)</f>
        <v>0.37174394880262462</v>
      </c>
      <c r="AC7" s="10">
        <f t="shared" ref="AC7" si="10">T7/SUM($Q7:$X7)</f>
        <v>0.23744454058160858</v>
      </c>
      <c r="AD7" s="10">
        <f t="shared" ref="AD7" si="11">U7/SUM($Q7:$X7)</f>
        <v>0.29980487509078052</v>
      </c>
      <c r="AE7" s="10">
        <f t="shared" ref="AE7" si="12">V7/SUM($Q7:$X7)</f>
        <v>9.2120920555582436E-3</v>
      </c>
      <c r="AF7" s="10">
        <f t="shared" ref="AF7" si="13">W7/SUM($Q7:$X7)</f>
        <v>1.7065953872475628E-2</v>
      </c>
      <c r="AG7" s="10">
        <f t="shared" ref="AG7" si="14">X7/SUM($Q7:$X7)</f>
        <v>9.3458903064113658E-3</v>
      </c>
    </row>
    <row r="8" spans="2:33" x14ac:dyDescent="0.45">
      <c r="C8" t="s">
        <v>139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M8">
        <v>2015</v>
      </c>
      <c r="N8" s="2" t="s">
        <v>538</v>
      </c>
      <c r="O8" s="5">
        <v>40304</v>
      </c>
      <c r="P8" s="2"/>
      <c r="Q8" s="13">
        <v>675107.5</v>
      </c>
      <c r="R8" s="13">
        <v>919546</v>
      </c>
      <c r="S8" s="13">
        <v>10703754</v>
      </c>
      <c r="T8" s="13">
        <v>6836824</v>
      </c>
      <c r="U8" s="13">
        <v>8632387</v>
      </c>
      <c r="V8" s="13">
        <v>265247</v>
      </c>
      <c r="W8" s="13">
        <v>491386</v>
      </c>
      <c r="X8" s="13">
        <v>269099.5</v>
      </c>
      <c r="Y8" s="2"/>
      <c r="Z8" s="10">
        <f t="shared" si="0"/>
        <v>2.3446645720395655E-2</v>
      </c>
      <c r="AA8" s="10">
        <f t="shared" ref="AA8" si="15">R8/SUM($Q8:$X8)</f>
        <v>3.1936053570145416E-2</v>
      </c>
      <c r="AB8" s="10">
        <f t="shared" ref="AB8" si="16">S8/SUM($Q8:$X8)</f>
        <v>0.37174394880262462</v>
      </c>
      <c r="AC8" s="10">
        <f t="shared" ref="AC8" si="17">T8/SUM($Q8:$X8)</f>
        <v>0.23744454058160858</v>
      </c>
      <c r="AD8" s="10">
        <f t="shared" ref="AD8" si="18">U8/SUM($Q8:$X8)</f>
        <v>0.29980487509078052</v>
      </c>
      <c r="AE8" s="10">
        <f t="shared" ref="AE8" si="19">V8/SUM($Q8:$X8)</f>
        <v>9.2120920555582436E-3</v>
      </c>
      <c r="AF8" s="10">
        <f t="shared" ref="AF8" si="20">W8/SUM($Q8:$X8)</f>
        <v>1.7065953872475628E-2</v>
      </c>
      <c r="AG8" s="10">
        <f t="shared" ref="AG8" si="21">X8/SUM($Q8:$X8)</f>
        <v>9.3458903064113658E-3</v>
      </c>
    </row>
    <row r="9" spans="2:33" x14ac:dyDescent="0.45">
      <c r="C9" t="s">
        <v>140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M9">
        <v>2015</v>
      </c>
      <c r="N9" s="2" t="s">
        <v>539</v>
      </c>
      <c r="O9" s="5">
        <v>42131</v>
      </c>
      <c r="P9" s="2"/>
      <c r="Q9" s="13">
        <v>49355.5</v>
      </c>
      <c r="R9" s="13">
        <v>3881099</v>
      </c>
      <c r="S9" s="13">
        <v>11334226</v>
      </c>
      <c r="T9" s="13">
        <v>2415916</v>
      </c>
      <c r="U9" s="13">
        <v>9347273</v>
      </c>
      <c r="V9" s="13">
        <v>1111603</v>
      </c>
      <c r="W9" s="13">
        <v>1454436</v>
      </c>
      <c r="X9" s="13">
        <v>270264.5</v>
      </c>
      <c r="Y9" s="2"/>
      <c r="Z9" s="10">
        <f t="shared" si="0"/>
        <v>1.65266588832043E-3</v>
      </c>
      <c r="AA9" s="10">
        <f t="shared" ref="AA9" si="22">R9/SUM($Q9:$X9)</f>
        <v>0.12995836181366885</v>
      </c>
      <c r="AB9" s="10">
        <f t="shared" ref="AB9" si="23">S9/SUM($Q9:$X9)</f>
        <v>0.37952586197514998</v>
      </c>
      <c r="AC9" s="10">
        <f t="shared" ref="AC9" si="24">T9/SUM($Q9:$X9)</f>
        <v>8.0896798983852658E-2</v>
      </c>
      <c r="AD9" s="10">
        <f t="shared" ref="AD9" si="25">U9/SUM($Q9:$X9)</f>
        <v>0.31299286271881693</v>
      </c>
      <c r="AE9" s="10">
        <f t="shared" ref="AE9" si="26">V9/SUM($Q9:$X9)</f>
        <v>3.722195823068665E-2</v>
      </c>
      <c r="AF9" s="10">
        <f t="shared" ref="AF9" si="27">W9/SUM($Q9:$X9)</f>
        <v>4.8701700194410204E-2</v>
      </c>
      <c r="AG9" s="10">
        <f t="shared" ref="AG9" si="28">X9/SUM($Q9:$X9)</f>
        <v>9.0497901950943021E-3</v>
      </c>
    </row>
    <row r="10" spans="2:33" x14ac:dyDescent="0.45">
      <c r="C10" t="s">
        <v>141</v>
      </c>
      <c r="D10" s="3">
        <v>0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M10">
        <v>2017</v>
      </c>
      <c r="N10" s="11" t="s">
        <v>538</v>
      </c>
      <c r="O10" s="5">
        <v>42131</v>
      </c>
      <c r="P10" s="11"/>
      <c r="Q10" s="12">
        <v>49355.5</v>
      </c>
      <c r="R10" s="12">
        <v>3881099</v>
      </c>
      <c r="S10" s="12">
        <v>11334226</v>
      </c>
      <c r="T10" s="12">
        <v>2415916</v>
      </c>
      <c r="U10" s="12">
        <v>9347273</v>
      </c>
      <c r="V10" s="12">
        <v>1111603</v>
      </c>
      <c r="W10" s="12">
        <v>1454436</v>
      </c>
      <c r="X10" s="12">
        <v>270264.5</v>
      </c>
      <c r="Y10" s="11"/>
      <c r="Z10" s="10">
        <f t="shared" si="0"/>
        <v>1.65266588832043E-3</v>
      </c>
      <c r="AA10" s="10">
        <f t="shared" ref="AA10" si="29">R10/SUM($Q10:$X10)</f>
        <v>0.12995836181366885</v>
      </c>
      <c r="AB10" s="10">
        <f t="shared" ref="AB10" si="30">S10/SUM($Q10:$X10)</f>
        <v>0.37952586197514998</v>
      </c>
      <c r="AC10" s="10">
        <f t="shared" ref="AC10" si="31">T10/SUM($Q10:$X10)</f>
        <v>8.0896798983852658E-2</v>
      </c>
      <c r="AD10" s="10">
        <f t="shared" ref="AD10" si="32">U10/SUM($Q10:$X10)</f>
        <v>0.31299286271881693</v>
      </c>
      <c r="AE10" s="10">
        <f t="shared" ref="AE10" si="33">V10/SUM($Q10:$X10)</f>
        <v>3.722195823068665E-2</v>
      </c>
      <c r="AF10" s="10">
        <f t="shared" ref="AF10" si="34">W10/SUM($Q10:$X10)</f>
        <v>4.8701700194410204E-2</v>
      </c>
      <c r="AG10" s="10">
        <f t="shared" ref="AG10" si="35">X10/SUM($Q10:$X10)</f>
        <v>9.0497901950943021E-3</v>
      </c>
    </row>
    <row r="11" spans="2:33" x14ac:dyDescent="0.45">
      <c r="C11" t="s">
        <v>142</v>
      </c>
      <c r="D11" s="3">
        <v>0</v>
      </c>
      <c r="E11" s="3">
        <v>0</v>
      </c>
      <c r="F11" s="3">
        <v>1</v>
      </c>
      <c r="G11" s="3">
        <v>1</v>
      </c>
      <c r="H11" s="3">
        <v>1</v>
      </c>
      <c r="I11" s="3">
        <v>1</v>
      </c>
      <c r="M11">
        <v>2017</v>
      </c>
      <c r="N11" s="11" t="s">
        <v>539</v>
      </c>
      <c r="O11" s="5">
        <v>42894</v>
      </c>
      <c r="P11" s="11"/>
      <c r="Q11" s="12">
        <v>86214.5</v>
      </c>
      <c r="R11" s="12">
        <v>594068</v>
      </c>
      <c r="S11" s="12">
        <v>13670983</v>
      </c>
      <c r="T11" s="12">
        <v>2371861</v>
      </c>
      <c r="U11" s="12">
        <v>12877918</v>
      </c>
      <c r="V11" s="12">
        <v>512327</v>
      </c>
      <c r="W11" s="12">
        <v>977568</v>
      </c>
      <c r="X11" s="12">
        <v>256566.5</v>
      </c>
      <c r="Y11" s="11"/>
      <c r="Z11" s="10">
        <f t="shared" si="0"/>
        <v>2.7502825902641186E-3</v>
      </c>
      <c r="AA11" s="10">
        <f t="shared" ref="AA11" si="36">R11/SUM($Q11:$X11)</f>
        <v>1.8951045100685203E-2</v>
      </c>
      <c r="AB11" s="10">
        <f t="shared" ref="AB11" si="37">S11/SUM($Q11:$X11)</f>
        <v>0.43611070686133691</v>
      </c>
      <c r="AC11" s="10">
        <f t="shared" ref="AC11" si="38">T11/SUM($Q11:$X11)</f>
        <v>7.5663467454157279E-2</v>
      </c>
      <c r="AD11" s="10">
        <f t="shared" ref="AD11" si="39">U11/SUM($Q11:$X11)</f>
        <v>0.41081156504125083</v>
      </c>
      <c r="AE11" s="10">
        <f t="shared" ref="AE11" si="40">V11/SUM($Q11:$X11)</f>
        <v>1.634346923803125E-2</v>
      </c>
      <c r="AF11" s="10">
        <f t="shared" ref="AF11" si="41">W11/SUM($Q11:$X11)</f>
        <v>3.1184873208095088E-2</v>
      </c>
      <c r="AG11" s="10">
        <f t="shared" ref="AG11" si="42">X11/SUM($Q11:$X11)</f>
        <v>8.1845905061793435E-3</v>
      </c>
    </row>
    <row r="12" spans="2:33" x14ac:dyDescent="0.45">
      <c r="C12" t="s">
        <v>143</v>
      </c>
      <c r="D12" s="3">
        <v>0</v>
      </c>
      <c r="E12" s="3">
        <v>0</v>
      </c>
      <c r="F12" s="3">
        <v>0</v>
      </c>
      <c r="G12" s="3">
        <v>1</v>
      </c>
      <c r="H12" s="3">
        <v>0</v>
      </c>
      <c r="I12" s="3">
        <v>1</v>
      </c>
      <c r="M12">
        <v>2019</v>
      </c>
      <c r="N12" s="2" t="s">
        <v>538</v>
      </c>
      <c r="O12" s="5">
        <v>42894</v>
      </c>
      <c r="P12" s="2"/>
      <c r="Q12" s="13">
        <v>86214.5</v>
      </c>
      <c r="R12" s="13">
        <v>594068</v>
      </c>
      <c r="S12" s="13">
        <v>13670983</v>
      </c>
      <c r="T12" s="13">
        <v>2371861</v>
      </c>
      <c r="U12" s="13">
        <v>12877918</v>
      </c>
      <c r="V12" s="13">
        <v>512327</v>
      </c>
      <c r="W12" s="13">
        <v>977568</v>
      </c>
      <c r="X12" s="13">
        <v>256566.5</v>
      </c>
      <c r="Y12" s="2"/>
      <c r="Z12" s="10">
        <f t="shared" si="0"/>
        <v>2.7502825902641186E-3</v>
      </c>
      <c r="AA12" s="10">
        <f t="shared" ref="AA12" si="43">R12/SUM($Q12:$X12)</f>
        <v>1.8951045100685203E-2</v>
      </c>
      <c r="AB12" s="10">
        <f t="shared" ref="AB12" si="44">S12/SUM($Q12:$X12)</f>
        <v>0.43611070686133691</v>
      </c>
      <c r="AC12" s="10">
        <f t="shared" ref="AC12" si="45">T12/SUM($Q12:$X12)</f>
        <v>7.5663467454157279E-2</v>
      </c>
      <c r="AD12" s="10">
        <f t="shared" ref="AD12" si="46">U12/SUM($Q12:$X12)</f>
        <v>0.41081156504125083</v>
      </c>
      <c r="AE12" s="10">
        <f t="shared" ref="AE12" si="47">V12/SUM($Q12:$X12)</f>
        <v>1.634346923803125E-2</v>
      </c>
      <c r="AF12" s="10">
        <f t="shared" ref="AF12" si="48">W12/SUM($Q12:$X12)</f>
        <v>3.1184873208095088E-2</v>
      </c>
      <c r="AG12" s="10">
        <f t="shared" ref="AG12" si="49">X12/SUM($Q12:$X12)</f>
        <v>8.1845905061793435E-3</v>
      </c>
    </row>
    <row r="13" spans="2:33" x14ac:dyDescent="0.45">
      <c r="M13">
        <v>2019</v>
      </c>
      <c r="N13" s="2" t="s">
        <v>539</v>
      </c>
      <c r="O13" s="5">
        <v>43811</v>
      </c>
      <c r="P13" s="2"/>
      <c r="Q13" s="13">
        <v>140660.5</v>
      </c>
      <c r="R13" s="13">
        <v>644257</v>
      </c>
      <c r="S13" s="13">
        <v>13966454</v>
      </c>
      <c r="T13" s="13">
        <v>3696419</v>
      </c>
      <c r="U13" s="13">
        <v>10295882</v>
      </c>
      <c r="V13" s="13">
        <v>835597</v>
      </c>
      <c r="W13" s="13">
        <v>1242380</v>
      </c>
      <c r="X13" s="13">
        <v>299230.5</v>
      </c>
      <c r="Y13" s="2"/>
      <c r="Z13" s="10">
        <f t="shared" si="0"/>
        <v>4.5198111364460128E-3</v>
      </c>
      <c r="AA13" s="10">
        <f t="shared" ref="AA13" si="50">R13/SUM($Q13:$X13)</f>
        <v>2.0701760361532193E-2</v>
      </c>
      <c r="AB13" s="10">
        <f t="shared" ref="AB13" si="51">S13/SUM($Q13:$X13)</f>
        <v>0.44878081853726504</v>
      </c>
      <c r="AC13" s="10">
        <f t="shared" ref="AC13" si="52">T13/SUM($Q13:$X13)</f>
        <v>0.11877617213909118</v>
      </c>
      <c r="AD13" s="10">
        <f t="shared" ref="AD13" si="53">U13/SUM($Q13:$X13)</f>
        <v>0.33083518203855417</v>
      </c>
      <c r="AE13" s="10">
        <f t="shared" ref="AE13" si="54">V13/SUM($Q13:$X13)</f>
        <v>2.6850044086156946E-2</v>
      </c>
      <c r="AF13" s="10">
        <f t="shared" ref="AF13" si="55">W13/SUM($Q13:$X13)</f>
        <v>3.9921107629347245E-2</v>
      </c>
      <c r="AG13" s="10">
        <f t="shared" ref="AG13" si="56">X13/SUM($Q13:$X13)</f>
        <v>9.6151040716072299E-3</v>
      </c>
    </row>
    <row r="14" spans="2:33" x14ac:dyDescent="0.45">
      <c r="M14">
        <v>2024</v>
      </c>
      <c r="N14" s="11" t="s">
        <v>538</v>
      </c>
      <c r="O14" s="5">
        <v>43811</v>
      </c>
      <c r="P14" s="11"/>
      <c r="Q14" s="12">
        <v>140660.5</v>
      </c>
      <c r="R14" s="12">
        <v>644257</v>
      </c>
      <c r="S14" s="12">
        <v>13966454</v>
      </c>
      <c r="T14" s="12">
        <v>3696419</v>
      </c>
      <c r="U14" s="12">
        <v>10295882</v>
      </c>
      <c r="V14" s="12">
        <v>835597</v>
      </c>
      <c r="W14" s="12">
        <v>1242380</v>
      </c>
      <c r="X14" s="12">
        <v>299230.5</v>
      </c>
      <c r="Y14" s="11"/>
      <c r="Z14" s="10">
        <f t="shared" si="0"/>
        <v>4.5198111364460128E-3</v>
      </c>
      <c r="AA14" s="10">
        <f t="shared" ref="AA14:AG15" si="57">R14/SUM($Q14:$X14)</f>
        <v>2.0701760361532193E-2</v>
      </c>
      <c r="AB14" s="10">
        <f t="shared" si="57"/>
        <v>0.44878081853726504</v>
      </c>
      <c r="AC14" s="10">
        <f t="shared" si="57"/>
        <v>0.11877617213909118</v>
      </c>
      <c r="AD14" s="10">
        <f t="shared" si="57"/>
        <v>0.33083518203855417</v>
      </c>
      <c r="AE14" s="10">
        <f t="shared" si="57"/>
        <v>2.6850044086156946E-2</v>
      </c>
      <c r="AF14" s="10">
        <f t="shared" si="57"/>
        <v>3.9921107629347245E-2</v>
      </c>
      <c r="AG14" s="10">
        <f t="shared" si="57"/>
        <v>9.6151040716072299E-3</v>
      </c>
    </row>
    <row r="15" spans="2:33" x14ac:dyDescent="0.45">
      <c r="M15">
        <v>2024</v>
      </c>
      <c r="N15" s="11" t="s">
        <v>539</v>
      </c>
      <c r="O15" s="5">
        <v>45477</v>
      </c>
      <c r="P15" s="11"/>
      <c r="Q15" s="12">
        <v>290735</v>
      </c>
      <c r="R15" s="12">
        <v>4117620</v>
      </c>
      <c r="S15" s="12">
        <v>6828925</v>
      </c>
      <c r="T15" s="12">
        <v>3519143</v>
      </c>
      <c r="U15" s="12">
        <v>9733954</v>
      </c>
      <c r="V15" s="12">
        <v>1841888</v>
      </c>
      <c r="W15" s="12">
        <v>724758</v>
      </c>
      <c r="X15" s="12">
        <v>695740</v>
      </c>
      <c r="Y15" s="11"/>
      <c r="Z15" s="10">
        <f t="shared" si="0"/>
        <v>1.0475893877665442E-2</v>
      </c>
      <c r="AA15" s="10">
        <f t="shared" si="57"/>
        <v>0.14836793006880072</v>
      </c>
      <c r="AB15" s="10">
        <f t="shared" si="57"/>
        <v>0.24606288750420993</v>
      </c>
      <c r="AC15" s="10">
        <f t="shared" si="57"/>
        <v>0.12680333846399366</v>
      </c>
      <c r="AD15" s="10">
        <f t="shared" si="57"/>
        <v>0.35073819496819109</v>
      </c>
      <c r="AE15" s="10">
        <f t="shared" si="57"/>
        <v>6.6367734268476253E-2</v>
      </c>
      <c r="AF15" s="10">
        <f t="shared" si="57"/>
        <v>2.6114805217772371E-2</v>
      </c>
      <c r="AG15" s="10">
        <f t="shared" si="57"/>
        <v>2.5069215630890516E-2</v>
      </c>
    </row>
    <row r="20" spans="8:33" x14ac:dyDescent="0.45">
      <c r="M20" t="s">
        <v>146</v>
      </c>
      <c r="N20" t="s">
        <v>537</v>
      </c>
      <c r="O20" t="s">
        <v>145</v>
      </c>
      <c r="Q20" t="s">
        <v>148</v>
      </c>
      <c r="R20" t="s">
        <v>238</v>
      </c>
      <c r="S20" t="s">
        <v>15</v>
      </c>
      <c r="T20" t="s">
        <v>20</v>
      </c>
      <c r="U20" t="s">
        <v>8</v>
      </c>
      <c r="V20" t="s">
        <v>23</v>
      </c>
      <c r="W20" t="s">
        <v>26</v>
      </c>
      <c r="X20" t="s">
        <v>149</v>
      </c>
      <c r="Z20" t="s">
        <v>148</v>
      </c>
      <c r="AA20" t="s">
        <v>238</v>
      </c>
      <c r="AB20" t="s">
        <v>15</v>
      </c>
      <c r="AC20" t="s">
        <v>20</v>
      </c>
      <c r="AD20" t="s">
        <v>8</v>
      </c>
      <c r="AE20" t="s">
        <v>23</v>
      </c>
      <c r="AF20" t="s">
        <v>26</v>
      </c>
      <c r="AG20" t="s">
        <v>149</v>
      </c>
    </row>
    <row r="21" spans="8:33" x14ac:dyDescent="0.45">
      <c r="K21" t="str">
        <f>INDEX($R$20:$W$20,1,MATCH(MAX(R21:W21),R21:W21,0))</f>
        <v>Conservative</v>
      </c>
      <c r="M21">
        <v>1992</v>
      </c>
      <c r="Q21">
        <v>55150</v>
      </c>
      <c r="R21">
        <v>0</v>
      </c>
      <c r="S21">
        <v>14094116</v>
      </c>
      <c r="T21">
        <v>6027038</v>
      </c>
      <c r="U21">
        <v>11557062</v>
      </c>
      <c r="V21">
        <v>170047</v>
      </c>
      <c r="W21">
        <v>629552</v>
      </c>
      <c r="X21">
        <v>292077</v>
      </c>
      <c r="Y21">
        <v>1992</v>
      </c>
      <c r="Z21" s="10">
        <f>Q21/SUM($Q21:$X21)</f>
        <v>1.6801197086053995E-3</v>
      </c>
      <c r="AA21" s="10">
        <f t="shared" ref="AA21" si="58">R21/SUM($Q21:$X21)</f>
        <v>0</v>
      </c>
      <c r="AB21" s="10">
        <f t="shared" ref="AB21" si="59">S21/SUM($Q21:$X21)</f>
        <v>0.42937084436936895</v>
      </c>
      <c r="AC21" s="10">
        <f t="shared" ref="AC21" si="60">T21/SUM($Q21:$X21)</f>
        <v>0.18361097603469936</v>
      </c>
      <c r="AD21" s="10">
        <f t="shared" ref="AD21" si="61">U21/SUM($Q21:$X21)</f>
        <v>0.35208064623344582</v>
      </c>
      <c r="AE21" s="10">
        <f t="shared" ref="AE21" si="62">V21/SUM($Q21:$X21)</f>
        <v>5.180404643503579E-3</v>
      </c>
      <c r="AF21" s="10">
        <f t="shared" ref="AF21" si="63">W21/SUM($Q21:$X21)</f>
        <v>1.9179015825783255E-2</v>
      </c>
      <c r="AG21" s="10">
        <f t="shared" ref="AG21" si="64">X21/SUM($Q21:$X21)</f>
        <v>8.8979931845936406E-3</v>
      </c>
    </row>
    <row r="22" spans="8:33" x14ac:dyDescent="0.45">
      <c r="H22" s="4">
        <v>35551</v>
      </c>
      <c r="K22" t="str">
        <f>INDEX($R$20:$W$20,1,MATCH(MAX(R22:W22),R22:W22,0))</f>
        <v>Labour</v>
      </c>
      <c r="M22">
        <v>1997</v>
      </c>
      <c r="Q22">
        <v>74907</v>
      </c>
      <c r="R22">
        <v>811849</v>
      </c>
      <c r="S22">
        <v>9591085</v>
      </c>
      <c r="T22">
        <v>5242947</v>
      </c>
      <c r="U22">
        <v>13542136</v>
      </c>
      <c r="V22">
        <v>61731</v>
      </c>
      <c r="W22">
        <v>621550</v>
      </c>
      <c r="X22">
        <v>263374</v>
      </c>
      <c r="Y22">
        <v>1997</v>
      </c>
      <c r="Z22" s="10">
        <f>Q22/SUM($Q22:$X22)</f>
        <v>2.4795777524738096E-3</v>
      </c>
      <c r="AA22" s="10">
        <f t="shared" ref="AA22" si="65">R22/SUM($Q22:$X22)</f>
        <v>2.6873893211156633E-2</v>
      </c>
      <c r="AB22" s="10">
        <f t="shared" ref="AB22" si="66">S22/SUM($Q22:$X22)</f>
        <v>0.3174848944435803</v>
      </c>
      <c r="AC22" s="10">
        <f t="shared" ref="AC22" si="67">T22/SUM($Q22:$X22)</f>
        <v>0.17355246824194406</v>
      </c>
      <c r="AD22" s="10">
        <f t="shared" ref="AD22" si="68">U22/SUM($Q22:$X22)</f>
        <v>0.44827291370065103</v>
      </c>
      <c r="AE22" s="10">
        <f t="shared" ref="AE22" si="69">V22/SUM($Q22:$X22)</f>
        <v>2.0434247031380346E-3</v>
      </c>
      <c r="AF22" s="10">
        <f t="shared" ref="AF22" si="70">W22/SUM($Q22:$X22)</f>
        <v>2.0574599864499932E-2</v>
      </c>
      <c r="AG22" s="10">
        <f t="shared" ref="AG22" si="71">X22/SUM($Q22:$X22)</f>
        <v>8.7182280825561977E-3</v>
      </c>
    </row>
    <row r="23" spans="8:33" x14ac:dyDescent="0.45">
      <c r="H23" s="4">
        <v>37049</v>
      </c>
      <c r="K23" t="str">
        <f t="shared" ref="K23:K29" si="72">INDEX($R$20:$W$20,1,MATCH(MAX(R23:W23),R23:W23,0))</f>
        <v>Labour</v>
      </c>
      <c r="M23">
        <v>2001</v>
      </c>
      <c r="Q23">
        <v>110831</v>
      </c>
      <c r="R23">
        <v>390563</v>
      </c>
      <c r="S23">
        <v>8357615</v>
      </c>
      <c r="T23">
        <v>4814321</v>
      </c>
      <c r="U23">
        <v>10741006</v>
      </c>
      <c r="V23">
        <v>166477</v>
      </c>
      <c r="W23">
        <v>464314</v>
      </c>
      <c r="X23">
        <v>446952</v>
      </c>
      <c r="Y23">
        <v>2001</v>
      </c>
      <c r="Z23" s="10">
        <f>Q23/SUM($Q23:$X23)</f>
        <v>4.347664229347477E-3</v>
      </c>
      <c r="AA23" s="10">
        <f t="shared" ref="AA23" si="73">R23/SUM($Q23:$X23)</f>
        <v>1.5320955187687909E-2</v>
      </c>
      <c r="AB23" s="10">
        <f t="shared" ref="AB23" si="74">S23/SUM($Q23:$X23)</f>
        <v>0.32785144750257522</v>
      </c>
      <c r="AC23" s="10">
        <f t="shared" ref="AC23" si="75">T23/SUM($Q23:$X23)</f>
        <v>0.18885556568375611</v>
      </c>
      <c r="AD23" s="10">
        <f t="shared" ref="AD23" si="76">U23/SUM($Q23:$X23)</f>
        <v>0.42134680345216252</v>
      </c>
      <c r="AE23" s="10">
        <f t="shared" ref="AE23" si="77">V23/SUM($Q23:$X23)</f>
        <v>6.5305383684084771E-3</v>
      </c>
      <c r="AF23" s="10">
        <f t="shared" ref="AF23" si="78">W23/SUM($Q23:$X23)</f>
        <v>1.8214049940767876E-2</v>
      </c>
      <c r="AG23" s="10">
        <f t="shared" ref="AG23" si="79">X23/SUM($Q23:$X23)</f>
        <v>1.75329756352944E-2</v>
      </c>
    </row>
    <row r="24" spans="8:33" x14ac:dyDescent="0.45">
      <c r="H24" s="4">
        <v>38477</v>
      </c>
      <c r="K24" t="str">
        <f t="shared" si="72"/>
        <v>Labour</v>
      </c>
      <c r="M24">
        <v>2005</v>
      </c>
      <c r="Q24" s="12">
        <v>294560</v>
      </c>
      <c r="R24" s="12">
        <v>605973</v>
      </c>
      <c r="S24" s="12">
        <v>8784915</v>
      </c>
      <c r="T24" s="12">
        <v>5985454</v>
      </c>
      <c r="U24" s="12">
        <v>9552436</v>
      </c>
      <c r="V24" s="12">
        <v>257758</v>
      </c>
      <c r="W24" s="12">
        <v>412267</v>
      </c>
      <c r="X24" s="12">
        <v>373414</v>
      </c>
      <c r="Y24">
        <v>2005</v>
      </c>
      <c r="Z24" s="10">
        <f t="shared" ref="Z24:Z29" si="80">Q24/SUM($Q24:$X24)</f>
        <v>1.1214166092779483E-2</v>
      </c>
      <c r="AA24" s="10">
        <f t="shared" ref="AA24:AA29" si="81">R24/SUM($Q24:$X24)</f>
        <v>2.3069941165602466E-2</v>
      </c>
      <c r="AB24" s="10">
        <f t="shared" ref="AB24:AB29" si="82">S24/SUM($Q24:$X24)</f>
        <v>0.33444967382180157</v>
      </c>
      <c r="AC24" s="10">
        <f t="shared" ref="AC24:AC29" si="83">T24/SUM($Q24:$X24)</f>
        <v>0.22787165703656753</v>
      </c>
      <c r="AD24" s="10">
        <f t="shared" ref="AD24:AD29" si="84">U24/SUM($Q24:$X24)</f>
        <v>0.36366989372163933</v>
      </c>
      <c r="AE24" s="10">
        <f t="shared" ref="AE24:AE29" si="85">V24/SUM($Q24:$X24)</f>
        <v>9.8130806074913576E-3</v>
      </c>
      <c r="AF24" s="10">
        <f t="shared" ref="AF24:AF29" si="86">W24/SUM($Q24:$X24)</f>
        <v>1.5695378233880768E-2</v>
      </c>
      <c r="AG24" s="10">
        <f t="shared" ref="AG24:AG29" si="87">X24/SUM($Q24:$X24)</f>
        <v>1.42162093202375E-2</v>
      </c>
    </row>
    <row r="25" spans="8:33" x14ac:dyDescent="0.45">
      <c r="H25" s="4">
        <v>40304</v>
      </c>
      <c r="K25" t="str">
        <f t="shared" si="72"/>
        <v>Conservative</v>
      </c>
      <c r="M25">
        <v>2010</v>
      </c>
      <c r="N25" s="11" t="s">
        <v>539</v>
      </c>
      <c r="O25" s="5">
        <v>40304</v>
      </c>
      <c r="P25" s="11"/>
      <c r="Q25" s="12">
        <v>675107.5</v>
      </c>
      <c r="R25" s="12">
        <v>919546</v>
      </c>
      <c r="S25" s="12">
        <v>10703754</v>
      </c>
      <c r="T25" s="12">
        <v>6836824</v>
      </c>
      <c r="U25" s="12">
        <v>8632387</v>
      </c>
      <c r="V25" s="12">
        <v>265247</v>
      </c>
      <c r="W25" s="12">
        <v>491386</v>
      </c>
      <c r="X25" s="12">
        <v>269099.5</v>
      </c>
      <c r="Y25">
        <v>2010</v>
      </c>
      <c r="Z25" s="10">
        <f t="shared" si="80"/>
        <v>2.3446645720395655E-2</v>
      </c>
      <c r="AA25" s="10">
        <f t="shared" si="81"/>
        <v>3.1936053570145416E-2</v>
      </c>
      <c r="AB25" s="10">
        <f t="shared" si="82"/>
        <v>0.37174394880262462</v>
      </c>
      <c r="AC25" s="10">
        <f t="shared" si="83"/>
        <v>0.23744454058160858</v>
      </c>
      <c r="AD25" s="10">
        <f t="shared" si="84"/>
        <v>0.29980487509078052</v>
      </c>
      <c r="AE25" s="10">
        <f t="shared" si="85"/>
        <v>9.2120920555582436E-3</v>
      </c>
      <c r="AF25" s="10">
        <f t="shared" si="86"/>
        <v>1.7065953872475628E-2</v>
      </c>
      <c r="AG25" s="10">
        <f t="shared" si="87"/>
        <v>9.3458903064113658E-3</v>
      </c>
    </row>
    <row r="26" spans="8:33" x14ac:dyDescent="0.45">
      <c r="H26" s="4">
        <v>42131</v>
      </c>
      <c r="K26" t="str">
        <f t="shared" si="72"/>
        <v>Conservative</v>
      </c>
      <c r="M26">
        <v>2015</v>
      </c>
      <c r="N26" s="2" t="s">
        <v>539</v>
      </c>
      <c r="O26" s="5">
        <v>42131</v>
      </c>
      <c r="P26" s="2"/>
      <c r="Q26" s="13">
        <v>49355.5</v>
      </c>
      <c r="R26" s="13">
        <v>3881099</v>
      </c>
      <c r="S26" s="13">
        <v>11334226</v>
      </c>
      <c r="T26" s="13">
        <v>2415916</v>
      </c>
      <c r="U26" s="13">
        <v>9347273</v>
      </c>
      <c r="V26" s="13">
        <v>1111603</v>
      </c>
      <c r="W26" s="13">
        <v>1454436</v>
      </c>
      <c r="X26" s="13">
        <v>270264.5</v>
      </c>
      <c r="Y26">
        <v>2015</v>
      </c>
      <c r="Z26" s="10">
        <f t="shared" si="80"/>
        <v>1.65266588832043E-3</v>
      </c>
      <c r="AA26" s="10">
        <f t="shared" si="81"/>
        <v>0.12995836181366885</v>
      </c>
      <c r="AB26" s="10">
        <f t="shared" si="82"/>
        <v>0.37952586197514998</v>
      </c>
      <c r="AC26" s="10">
        <f t="shared" si="83"/>
        <v>8.0896798983852658E-2</v>
      </c>
      <c r="AD26" s="10">
        <f t="shared" si="84"/>
        <v>0.31299286271881693</v>
      </c>
      <c r="AE26" s="10">
        <f t="shared" si="85"/>
        <v>3.722195823068665E-2</v>
      </c>
      <c r="AF26" s="10">
        <f t="shared" si="86"/>
        <v>4.8701700194410204E-2</v>
      </c>
      <c r="AG26" s="10">
        <f t="shared" si="87"/>
        <v>9.0497901950943021E-3</v>
      </c>
    </row>
    <row r="27" spans="8:33" x14ac:dyDescent="0.45">
      <c r="H27" s="4">
        <v>42894</v>
      </c>
      <c r="K27" t="str">
        <f t="shared" si="72"/>
        <v>Conservative</v>
      </c>
      <c r="M27">
        <v>2017</v>
      </c>
      <c r="N27" s="11" t="s">
        <v>539</v>
      </c>
      <c r="O27" s="5">
        <v>42894</v>
      </c>
      <c r="P27" s="11"/>
      <c r="Q27" s="12">
        <v>86214.5</v>
      </c>
      <c r="R27" s="12">
        <v>594068</v>
      </c>
      <c r="S27" s="12">
        <v>13670983</v>
      </c>
      <c r="T27" s="12">
        <v>2371861</v>
      </c>
      <c r="U27" s="12">
        <v>12877918</v>
      </c>
      <c r="V27" s="12">
        <v>512327</v>
      </c>
      <c r="W27" s="12">
        <v>977568</v>
      </c>
      <c r="X27" s="12">
        <v>256566.5</v>
      </c>
      <c r="Y27">
        <v>2017</v>
      </c>
      <c r="Z27" s="10">
        <f t="shared" si="80"/>
        <v>2.7502825902641186E-3</v>
      </c>
      <c r="AA27" s="10">
        <f t="shared" si="81"/>
        <v>1.8951045100685203E-2</v>
      </c>
      <c r="AB27" s="10">
        <f t="shared" si="82"/>
        <v>0.43611070686133691</v>
      </c>
      <c r="AC27" s="10">
        <f t="shared" si="83"/>
        <v>7.5663467454157279E-2</v>
      </c>
      <c r="AD27" s="10">
        <f t="shared" si="84"/>
        <v>0.41081156504125083</v>
      </c>
      <c r="AE27" s="10">
        <f t="shared" si="85"/>
        <v>1.634346923803125E-2</v>
      </c>
      <c r="AF27" s="10">
        <f t="shared" si="86"/>
        <v>3.1184873208095088E-2</v>
      </c>
      <c r="AG27" s="10">
        <f t="shared" si="87"/>
        <v>8.1845905061793435E-3</v>
      </c>
    </row>
    <row r="28" spans="8:33" x14ac:dyDescent="0.45">
      <c r="H28" s="4">
        <v>43811</v>
      </c>
      <c r="K28" t="str">
        <f t="shared" si="72"/>
        <v>Conservative</v>
      </c>
      <c r="M28">
        <v>2019</v>
      </c>
      <c r="N28" s="2" t="s">
        <v>539</v>
      </c>
      <c r="O28" s="5">
        <v>43811</v>
      </c>
      <c r="P28" s="2"/>
      <c r="Q28" s="13">
        <v>140660.5</v>
      </c>
      <c r="R28" s="13">
        <v>644257</v>
      </c>
      <c r="S28" s="13">
        <v>13966454</v>
      </c>
      <c r="T28" s="13">
        <v>3696419</v>
      </c>
      <c r="U28" s="13">
        <v>10295882</v>
      </c>
      <c r="V28" s="13">
        <v>835597</v>
      </c>
      <c r="W28" s="13">
        <v>1242380</v>
      </c>
      <c r="X28" s="13">
        <v>299230.5</v>
      </c>
      <c r="Y28">
        <v>2019</v>
      </c>
      <c r="Z28" s="10">
        <f t="shared" si="80"/>
        <v>4.5198111364460128E-3</v>
      </c>
      <c r="AA28" s="10">
        <f t="shared" si="81"/>
        <v>2.0701760361532193E-2</v>
      </c>
      <c r="AB28" s="10">
        <f t="shared" si="82"/>
        <v>0.44878081853726504</v>
      </c>
      <c r="AC28" s="10">
        <f t="shared" si="83"/>
        <v>0.11877617213909118</v>
      </c>
      <c r="AD28" s="10">
        <f t="shared" si="84"/>
        <v>0.33083518203855417</v>
      </c>
      <c r="AE28" s="10">
        <f t="shared" si="85"/>
        <v>2.6850044086156946E-2</v>
      </c>
      <c r="AF28" s="10">
        <f t="shared" si="86"/>
        <v>3.9921107629347245E-2</v>
      </c>
      <c r="AG28" s="10">
        <f t="shared" si="87"/>
        <v>9.6151040716072299E-3</v>
      </c>
    </row>
    <row r="29" spans="8:33" x14ac:dyDescent="0.45">
      <c r="H29" s="4">
        <v>45477</v>
      </c>
      <c r="K29" t="str">
        <f t="shared" si="72"/>
        <v>Labour</v>
      </c>
      <c r="M29">
        <v>2024</v>
      </c>
      <c r="N29" s="11" t="s">
        <v>539</v>
      </c>
      <c r="O29" s="5">
        <v>45477</v>
      </c>
      <c r="P29" s="11"/>
      <c r="Q29" s="12">
        <v>290735</v>
      </c>
      <c r="R29" s="12">
        <v>4117620</v>
      </c>
      <c r="S29" s="12">
        <v>6828925</v>
      </c>
      <c r="T29" s="12">
        <v>3519143</v>
      </c>
      <c r="U29" s="12">
        <v>9733954</v>
      </c>
      <c r="V29" s="12">
        <v>1841888</v>
      </c>
      <c r="W29" s="12">
        <v>724758</v>
      </c>
      <c r="X29" s="12">
        <v>695740</v>
      </c>
      <c r="Y29">
        <v>2024</v>
      </c>
      <c r="Z29" s="10">
        <f t="shared" si="80"/>
        <v>1.0475893877665442E-2</v>
      </c>
      <c r="AA29" s="10">
        <f t="shared" si="81"/>
        <v>0.14836793006880072</v>
      </c>
      <c r="AB29" s="10">
        <f t="shared" si="82"/>
        <v>0.24606288750420993</v>
      </c>
      <c r="AC29" s="10">
        <f t="shared" si="83"/>
        <v>0.12680333846399366</v>
      </c>
      <c r="AD29" s="10">
        <f t="shared" si="84"/>
        <v>0.35073819496819109</v>
      </c>
      <c r="AE29" s="10">
        <f t="shared" si="85"/>
        <v>6.6367734268476253E-2</v>
      </c>
      <c r="AF29" s="10">
        <f t="shared" si="86"/>
        <v>2.6114805217772371E-2</v>
      </c>
      <c r="AG29" s="10">
        <f t="shared" si="87"/>
        <v>2.5069215630890516E-2</v>
      </c>
    </row>
    <row r="35" spans="17:17" x14ac:dyDescent="0.45">
      <c r="Q35" t="s">
        <v>148</v>
      </c>
    </row>
    <row r="36" spans="17:17" x14ac:dyDescent="0.45">
      <c r="Q36" t="s">
        <v>238</v>
      </c>
    </row>
    <row r="37" spans="17:17" x14ac:dyDescent="0.45">
      <c r="Q37" t="s">
        <v>15</v>
      </c>
    </row>
    <row r="38" spans="17:17" x14ac:dyDescent="0.45">
      <c r="Q38" t="s">
        <v>20</v>
      </c>
    </row>
    <row r="39" spans="17:17" x14ac:dyDescent="0.45">
      <c r="Q39" t="s">
        <v>8</v>
      </c>
    </row>
    <row r="40" spans="17:17" x14ac:dyDescent="0.45">
      <c r="Q40" t="s">
        <v>23</v>
      </c>
    </row>
    <row r="41" spans="17:17" x14ac:dyDescent="0.45">
      <c r="Q41" t="s">
        <v>26</v>
      </c>
    </row>
    <row r="42" spans="17:17" x14ac:dyDescent="0.45">
      <c r="Q42" t="s">
        <v>149</v>
      </c>
    </row>
  </sheetData>
  <conditionalFormatting sqref="D6:I13">
    <cfRule type="colorScale" priority="24">
      <colorScale>
        <cfvo type="min"/>
        <cfvo type="max"/>
        <color rgb="FFFCFCFF"/>
        <color rgb="FF63BE7B"/>
      </colorScale>
    </cfRule>
  </conditionalFormatting>
  <conditionalFormatting sqref="O6:O15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5:O2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6:X15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2:X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4:X2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5:X2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6:AG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7:AG7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8:AG8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9:AG9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0:AG1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1:AG1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2:AG1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3:AG1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4:AG15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1:AG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2:AG2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3:AG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300E2-4C8B-485F-AFEB-3513F5150A7B}">
  <dimension ref="B2:AE83"/>
  <sheetViews>
    <sheetView topLeftCell="O1" workbookViewId="0">
      <selection activeCell="AD13" sqref="AD6:AD13"/>
    </sheetView>
  </sheetViews>
  <sheetFormatPr defaultRowHeight="14.25" x14ac:dyDescent="0.45"/>
  <cols>
    <col min="6" max="6" width="32.33203125" customWidth="1"/>
    <col min="23" max="23" width="13.59765625" bestFit="1" customWidth="1"/>
    <col min="30" max="30" width="10" bestFit="1" customWidth="1"/>
  </cols>
  <sheetData>
    <row r="2" spans="2:31" x14ac:dyDescent="0.45">
      <c r="B2">
        <f>SUMPRODUCT(B6:B59,$N$6:$N$59)</f>
        <v>290735</v>
      </c>
      <c r="C2">
        <f>SUMPRODUCT(C6:C59,$N$6:$N$59)</f>
        <v>695740</v>
      </c>
    </row>
    <row r="3" spans="2:31" x14ac:dyDescent="0.45">
      <c r="W3" s="6">
        <f>SUM(N:N)</f>
        <v>28785541</v>
      </c>
    </row>
    <row r="5" spans="2:31" x14ac:dyDescent="0.45">
      <c r="B5" t="s">
        <v>148</v>
      </c>
      <c r="C5" t="s">
        <v>149</v>
      </c>
      <c r="D5" t="s">
        <v>135</v>
      </c>
      <c r="E5" t="s">
        <v>134</v>
      </c>
      <c r="F5" t="s">
        <v>0</v>
      </c>
      <c r="G5" t="s">
        <v>1</v>
      </c>
      <c r="H5" t="s">
        <v>2</v>
      </c>
      <c r="I5" t="s">
        <v>3</v>
      </c>
      <c r="J5" t="s">
        <v>4</v>
      </c>
      <c r="K5" t="s">
        <v>5</v>
      </c>
      <c r="L5" t="s">
        <v>6</v>
      </c>
      <c r="M5" t="s">
        <v>7</v>
      </c>
      <c r="N5" t="s">
        <v>3</v>
      </c>
      <c r="O5" t="s">
        <v>7</v>
      </c>
      <c r="T5" t="s">
        <v>133</v>
      </c>
      <c r="V5" t="s">
        <v>135</v>
      </c>
    </row>
    <row r="6" spans="2:31" x14ac:dyDescent="0.45">
      <c r="B6">
        <v>0</v>
      </c>
      <c r="C6">
        <v>0</v>
      </c>
      <c r="D6" s="2" t="str">
        <f t="shared" ref="D6:D11" si="0">F6</f>
        <v>Labour</v>
      </c>
      <c r="E6" t="s">
        <v>129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>
        <v>7</v>
      </c>
      <c r="L6" t="s">
        <v>13</v>
      </c>
      <c r="M6" t="s">
        <v>14</v>
      </c>
      <c r="N6" s="1">
        <v>9708716</v>
      </c>
      <c r="O6">
        <v>33.700000000000003</v>
      </c>
      <c r="P6">
        <f>O6+P5</f>
        <v>33.700000000000003</v>
      </c>
      <c r="S6" t="s">
        <v>129</v>
      </c>
      <c r="T6">
        <f>SUMIF($E$6:$E$59,S6,$O$6:$O$59)</f>
        <v>45.489999999999995</v>
      </c>
      <c r="U6">
        <v>1</v>
      </c>
      <c r="V6" t="s">
        <v>130</v>
      </c>
      <c r="W6" s="6">
        <f>SUMIF($D$6:$D$59,V6,$N$6:$N$59)</f>
        <v>18731</v>
      </c>
      <c r="X6">
        <f t="shared" ref="X6:X17" si="1">SUMIF($D$6:$D$59,V6,$O$6:$O$59)</f>
        <v>0.06</v>
      </c>
      <c r="AC6" t="s">
        <v>148</v>
      </c>
      <c r="AD6">
        <f>B2</f>
        <v>290735</v>
      </c>
      <c r="AE6" s="8">
        <f t="shared" ref="AE6:AE13" si="2">AD6/SUM($AD$6:$AD$13)</f>
        <v>1.0475893877665442E-2</v>
      </c>
    </row>
    <row r="7" spans="2:31" x14ac:dyDescent="0.45">
      <c r="B7">
        <v>0</v>
      </c>
      <c r="C7">
        <v>0</v>
      </c>
      <c r="D7" s="2" t="str">
        <f t="shared" si="0"/>
        <v>Conservative</v>
      </c>
      <c r="E7" t="s">
        <v>130</v>
      </c>
      <c r="F7" t="s">
        <v>15</v>
      </c>
      <c r="G7" t="s">
        <v>16</v>
      </c>
      <c r="H7">
        <v>635</v>
      </c>
      <c r="I7">
        <v>121</v>
      </c>
      <c r="J7">
        <v>1</v>
      </c>
      <c r="K7">
        <v>252</v>
      </c>
      <c r="L7">
        <v>251</v>
      </c>
      <c r="M7">
        <v>18.600000000000001</v>
      </c>
      <c r="N7" s="1">
        <v>6828925</v>
      </c>
      <c r="O7">
        <v>23.7</v>
      </c>
      <c r="P7">
        <f t="shared" ref="P7:P59" si="3">O7+P6</f>
        <v>57.400000000000006</v>
      </c>
      <c r="S7" t="s">
        <v>131</v>
      </c>
      <c r="T7">
        <f>SUMIF($E$6:$E$59,S7,$O$6:$O$59)</f>
        <v>14.68</v>
      </c>
      <c r="U7">
        <v>2</v>
      </c>
      <c r="V7" t="s">
        <v>17</v>
      </c>
      <c r="W7" s="6">
        <f t="shared" ref="W7:W17" si="4">SUMIF($D$6:$D$59,V7,$N$6:$N$59)</f>
        <v>4117620</v>
      </c>
      <c r="X7">
        <f t="shared" si="1"/>
        <v>14.29</v>
      </c>
      <c r="AC7" t="s">
        <v>17</v>
      </c>
      <c r="AD7" s="9">
        <f>W7</f>
        <v>4117620</v>
      </c>
      <c r="AE7" s="8">
        <f t="shared" si="2"/>
        <v>0.14836793006880072</v>
      </c>
    </row>
    <row r="8" spans="2:31" x14ac:dyDescent="0.45">
      <c r="B8">
        <v>0</v>
      </c>
      <c r="C8">
        <v>0</v>
      </c>
      <c r="D8" s="2" t="str">
        <f t="shared" si="0"/>
        <v>Reform</v>
      </c>
      <c r="E8" t="s">
        <v>130</v>
      </c>
      <c r="F8" t="s">
        <v>17</v>
      </c>
      <c r="G8" t="s">
        <v>18</v>
      </c>
      <c r="H8">
        <v>609</v>
      </c>
      <c r="I8">
        <v>5</v>
      </c>
      <c r="J8">
        <v>5</v>
      </c>
      <c r="K8">
        <v>0</v>
      </c>
      <c r="L8" t="s">
        <v>19</v>
      </c>
      <c r="M8">
        <v>0.8</v>
      </c>
      <c r="N8" s="1">
        <v>4117620</v>
      </c>
      <c r="O8">
        <v>14.29</v>
      </c>
      <c r="P8">
        <f t="shared" si="3"/>
        <v>71.69</v>
      </c>
      <c r="S8" t="s">
        <v>130</v>
      </c>
      <c r="T8">
        <f t="shared" ref="T8" si="5">SUMIF($E$6:$E$59,S8,$O$6:$O$59)</f>
        <v>39.089999999999996</v>
      </c>
      <c r="U8">
        <v>3</v>
      </c>
      <c r="V8" t="s">
        <v>15</v>
      </c>
      <c r="W8" s="6">
        <f t="shared" si="4"/>
        <v>6828925</v>
      </c>
      <c r="X8">
        <f t="shared" si="1"/>
        <v>23.7</v>
      </c>
      <c r="AC8" t="s">
        <v>15</v>
      </c>
      <c r="AD8" s="9">
        <f>W8</f>
        <v>6828925</v>
      </c>
      <c r="AE8" s="8">
        <f t="shared" si="2"/>
        <v>0.24606288750420993</v>
      </c>
    </row>
    <row r="9" spans="2:31" x14ac:dyDescent="0.45">
      <c r="B9">
        <v>0</v>
      </c>
      <c r="C9">
        <v>0</v>
      </c>
      <c r="D9" s="2" t="str">
        <f t="shared" si="0"/>
        <v>Liberal Democrats</v>
      </c>
      <c r="E9" t="s">
        <v>131</v>
      </c>
      <c r="F9" t="s">
        <v>20</v>
      </c>
      <c r="G9" t="s">
        <v>21</v>
      </c>
      <c r="H9">
        <v>630</v>
      </c>
      <c r="I9">
        <v>72</v>
      </c>
      <c r="J9">
        <v>64</v>
      </c>
      <c r="K9">
        <v>0</v>
      </c>
      <c r="L9" t="s">
        <v>22</v>
      </c>
      <c r="M9">
        <v>11.1</v>
      </c>
      <c r="N9" s="1">
        <v>3519143</v>
      </c>
      <c r="O9">
        <v>12.22</v>
      </c>
      <c r="P9">
        <f t="shared" si="3"/>
        <v>83.91</v>
      </c>
      <c r="S9" t="s">
        <v>132</v>
      </c>
      <c r="T9">
        <f>SUMIF($E$6:$E$59,S9,$O$6:$O$59)</f>
        <v>0.69000000000000039</v>
      </c>
      <c r="U9">
        <v>4</v>
      </c>
      <c r="V9" t="s">
        <v>20</v>
      </c>
      <c r="W9" s="6">
        <f t="shared" si="4"/>
        <v>3519143</v>
      </c>
      <c r="X9">
        <f t="shared" si="1"/>
        <v>12.22</v>
      </c>
      <c r="AC9" t="s">
        <v>20</v>
      </c>
      <c r="AD9" s="9">
        <f>W9</f>
        <v>3519143</v>
      </c>
      <c r="AE9" s="8">
        <f t="shared" si="2"/>
        <v>0.12680333846399366</v>
      </c>
    </row>
    <row r="10" spans="2:31" x14ac:dyDescent="0.45">
      <c r="B10">
        <v>0</v>
      </c>
      <c r="C10">
        <v>0</v>
      </c>
      <c r="D10" s="2" t="str">
        <f t="shared" si="0"/>
        <v>Green Party of England and Wales</v>
      </c>
      <c r="E10" t="s">
        <v>129</v>
      </c>
      <c r="F10" t="s">
        <v>23</v>
      </c>
      <c r="G10" t="s">
        <v>24</v>
      </c>
      <c r="H10">
        <v>574</v>
      </c>
      <c r="I10">
        <v>4</v>
      </c>
      <c r="J10">
        <v>3</v>
      </c>
      <c r="K10">
        <v>0</v>
      </c>
      <c r="L10" t="s">
        <v>25</v>
      </c>
      <c r="M10">
        <v>0.6</v>
      </c>
      <c r="N10" s="1">
        <v>1841888</v>
      </c>
      <c r="O10">
        <v>6.39</v>
      </c>
      <c r="P10">
        <f t="shared" si="3"/>
        <v>90.3</v>
      </c>
      <c r="U10">
        <v>5</v>
      </c>
      <c r="V10" t="s">
        <v>131</v>
      </c>
      <c r="W10" s="6">
        <f t="shared" si="4"/>
        <v>564243</v>
      </c>
      <c r="X10">
        <f t="shared" si="1"/>
        <v>1.96</v>
      </c>
      <c r="AC10" t="s">
        <v>8</v>
      </c>
      <c r="AD10" s="9">
        <f>W11</f>
        <v>9733954</v>
      </c>
      <c r="AE10" s="8">
        <f t="shared" si="2"/>
        <v>0.35073819496819109</v>
      </c>
    </row>
    <row r="11" spans="2:31" x14ac:dyDescent="0.45">
      <c r="B11">
        <v>0</v>
      </c>
      <c r="C11">
        <v>0</v>
      </c>
      <c r="D11" s="2" t="str">
        <f t="shared" si="0"/>
        <v>Scottish National Party</v>
      </c>
      <c r="E11" t="s">
        <v>129</v>
      </c>
      <c r="F11" t="s">
        <v>26</v>
      </c>
      <c r="G11" t="s">
        <v>27</v>
      </c>
      <c r="H11">
        <v>57</v>
      </c>
      <c r="I11">
        <v>9</v>
      </c>
      <c r="J11">
        <v>1</v>
      </c>
      <c r="K11">
        <v>40</v>
      </c>
      <c r="L11" t="s">
        <v>28</v>
      </c>
      <c r="M11">
        <v>1.4</v>
      </c>
      <c r="N11" s="1">
        <v>724758</v>
      </c>
      <c r="O11">
        <v>2.52</v>
      </c>
      <c r="P11">
        <f t="shared" si="3"/>
        <v>92.82</v>
      </c>
      <c r="U11">
        <v>6</v>
      </c>
      <c r="V11" t="s">
        <v>8</v>
      </c>
      <c r="W11" s="6">
        <f>SUMIF($D$6:$D$59,V11,$N$6:$N$59)</f>
        <v>9733954</v>
      </c>
      <c r="X11">
        <f t="shared" si="1"/>
        <v>33.790000000000006</v>
      </c>
      <c r="AC11" t="s">
        <v>23</v>
      </c>
      <c r="AD11" s="9">
        <f t="shared" ref="AD11:AD12" si="6">W12</f>
        <v>1841888</v>
      </c>
      <c r="AE11" s="8">
        <f t="shared" si="2"/>
        <v>6.6367734268476253E-2</v>
      </c>
    </row>
    <row r="12" spans="2:31" x14ac:dyDescent="0.45">
      <c r="B12">
        <v>0.5</v>
      </c>
      <c r="C12">
        <v>0.5</v>
      </c>
      <c r="D12" t="str">
        <f t="shared" ref="D12:D59" si="7">E12</f>
        <v>Centre</v>
      </c>
      <c r="E12" t="s">
        <v>131</v>
      </c>
      <c r="F12" t="s">
        <v>29</v>
      </c>
      <c r="G12" t="s">
        <v>30</v>
      </c>
      <c r="H12">
        <v>459</v>
      </c>
      <c r="I12">
        <v>6</v>
      </c>
      <c r="J12">
        <v>6</v>
      </c>
      <c r="K12">
        <v>0</v>
      </c>
      <c r="L12" t="s">
        <v>31</v>
      </c>
      <c r="M12">
        <v>0.9</v>
      </c>
      <c r="N12" s="1">
        <v>564243</v>
      </c>
      <c r="O12">
        <v>1.96</v>
      </c>
      <c r="P12">
        <f t="shared" si="3"/>
        <v>94.779999999999987</v>
      </c>
      <c r="U12">
        <v>7</v>
      </c>
      <c r="V12" t="s">
        <v>23</v>
      </c>
      <c r="W12" s="6">
        <f t="shared" si="4"/>
        <v>1841888</v>
      </c>
      <c r="X12">
        <f t="shared" si="1"/>
        <v>6.39</v>
      </c>
      <c r="AC12" t="s">
        <v>26</v>
      </c>
      <c r="AD12" s="9">
        <f t="shared" si="6"/>
        <v>724758</v>
      </c>
      <c r="AE12" s="8">
        <f t="shared" si="2"/>
        <v>2.6114805217772371E-2</v>
      </c>
    </row>
    <row r="13" spans="2:31" x14ac:dyDescent="0.45">
      <c r="B13">
        <v>0</v>
      </c>
      <c r="C13">
        <v>0</v>
      </c>
      <c r="D13" t="s">
        <v>147</v>
      </c>
      <c r="E13" t="s">
        <v>129</v>
      </c>
      <c r="F13" t="s">
        <v>32</v>
      </c>
      <c r="G13" t="s">
        <v>33</v>
      </c>
      <c r="H13">
        <v>14</v>
      </c>
      <c r="I13">
        <v>7</v>
      </c>
      <c r="J13">
        <v>0</v>
      </c>
      <c r="K13">
        <v>0</v>
      </c>
      <c r="M13">
        <v>1.1000000000000001</v>
      </c>
      <c r="N13" s="1">
        <v>210891</v>
      </c>
      <c r="O13">
        <v>0.73</v>
      </c>
      <c r="P13">
        <f t="shared" si="3"/>
        <v>95.509999999999991</v>
      </c>
      <c r="U13">
        <v>8</v>
      </c>
      <c r="V13" t="s">
        <v>26</v>
      </c>
      <c r="W13" s="6">
        <f t="shared" si="4"/>
        <v>724758</v>
      </c>
      <c r="X13">
        <f t="shared" si="1"/>
        <v>2.52</v>
      </c>
      <c r="AC13" t="s">
        <v>149</v>
      </c>
      <c r="AD13">
        <f>C2</f>
        <v>695740</v>
      </c>
      <c r="AE13" s="8">
        <f t="shared" si="2"/>
        <v>2.5069215630890516E-2</v>
      </c>
    </row>
    <row r="14" spans="2:31" x14ac:dyDescent="0.45">
      <c r="B14">
        <v>0</v>
      </c>
      <c r="C14">
        <v>1</v>
      </c>
      <c r="D14" t="str">
        <f t="shared" si="7"/>
        <v>Left</v>
      </c>
      <c r="E14" t="s">
        <v>129</v>
      </c>
      <c r="F14" t="s">
        <v>34</v>
      </c>
      <c r="G14" t="s">
        <v>35</v>
      </c>
      <c r="H14">
        <v>152</v>
      </c>
      <c r="I14">
        <v>0</v>
      </c>
      <c r="J14" t="s">
        <v>36</v>
      </c>
      <c r="K14" t="s">
        <v>36</v>
      </c>
      <c r="L14" t="s">
        <v>36</v>
      </c>
      <c r="M14">
        <v>0</v>
      </c>
      <c r="N14" s="1">
        <v>210194</v>
      </c>
      <c r="O14">
        <v>0.73</v>
      </c>
      <c r="P14">
        <f t="shared" si="3"/>
        <v>96.24</v>
      </c>
      <c r="U14">
        <v>9</v>
      </c>
      <c r="V14" t="s">
        <v>37</v>
      </c>
      <c r="W14" s="6">
        <f t="shared" si="4"/>
        <v>194811</v>
      </c>
      <c r="X14">
        <f t="shared" si="1"/>
        <v>0.68</v>
      </c>
    </row>
    <row r="15" spans="2:31" x14ac:dyDescent="0.45">
      <c r="B15">
        <v>0</v>
      </c>
      <c r="C15">
        <v>1</v>
      </c>
      <c r="D15" s="7" t="str">
        <f>F15</f>
        <v>Plaid Cymru</v>
      </c>
      <c r="E15" t="s">
        <v>129</v>
      </c>
      <c r="F15" t="s">
        <v>37</v>
      </c>
      <c r="G15" t="s">
        <v>38</v>
      </c>
      <c r="H15">
        <v>32</v>
      </c>
      <c r="I15">
        <v>4</v>
      </c>
      <c r="J15">
        <v>2</v>
      </c>
      <c r="K15">
        <v>0</v>
      </c>
      <c r="L15" t="s">
        <v>39</v>
      </c>
      <c r="M15">
        <v>0.6</v>
      </c>
      <c r="N15" s="1">
        <v>194811</v>
      </c>
      <c r="O15">
        <v>0.68</v>
      </c>
      <c r="P15">
        <f t="shared" si="3"/>
        <v>96.92</v>
      </c>
      <c r="U15">
        <v>10</v>
      </c>
      <c r="V15" t="s">
        <v>129</v>
      </c>
      <c r="W15" s="6">
        <f t="shared" si="4"/>
        <v>349252</v>
      </c>
      <c r="X15">
        <f t="shared" si="1"/>
        <v>1.21</v>
      </c>
      <c r="AD15">
        <f>SUM(AD6:AD13)</f>
        <v>27752763</v>
      </c>
    </row>
    <row r="16" spans="2:31" x14ac:dyDescent="0.45">
      <c r="B16">
        <v>0</v>
      </c>
      <c r="C16">
        <v>0</v>
      </c>
      <c r="D16" t="s">
        <v>147</v>
      </c>
      <c r="E16" t="s">
        <v>130</v>
      </c>
      <c r="F16" t="s">
        <v>40</v>
      </c>
      <c r="G16" t="s">
        <v>41</v>
      </c>
      <c r="H16">
        <v>16</v>
      </c>
      <c r="I16">
        <v>5</v>
      </c>
      <c r="J16">
        <v>0</v>
      </c>
      <c r="K16">
        <v>3</v>
      </c>
      <c r="L16" t="s">
        <v>25</v>
      </c>
      <c r="M16">
        <v>0.8</v>
      </c>
      <c r="N16" s="1">
        <v>172058</v>
      </c>
      <c r="O16">
        <v>0.6</v>
      </c>
      <c r="P16">
        <f t="shared" si="3"/>
        <v>97.52</v>
      </c>
      <c r="U16">
        <v>11</v>
      </c>
      <c r="V16" t="s">
        <v>132</v>
      </c>
      <c r="W16" s="6">
        <f t="shared" si="4"/>
        <v>154285</v>
      </c>
      <c r="X16">
        <f t="shared" si="1"/>
        <v>0.56000000000000028</v>
      </c>
      <c r="AD16" s="9">
        <f>W3-AD15</f>
        <v>1032778</v>
      </c>
    </row>
    <row r="17" spans="2:31" x14ac:dyDescent="0.45">
      <c r="B17">
        <v>0</v>
      </c>
      <c r="C17">
        <v>0</v>
      </c>
      <c r="D17" t="s">
        <v>147</v>
      </c>
      <c r="E17" t="s">
        <v>131</v>
      </c>
      <c r="F17" t="s">
        <v>42</v>
      </c>
      <c r="G17" t="s">
        <v>43</v>
      </c>
      <c r="H17">
        <v>18</v>
      </c>
      <c r="I17">
        <v>1</v>
      </c>
      <c r="J17">
        <v>1</v>
      </c>
      <c r="K17">
        <v>1</v>
      </c>
      <c r="M17">
        <v>0.2</v>
      </c>
      <c r="N17" s="1">
        <v>117191</v>
      </c>
      <c r="O17">
        <v>0.41</v>
      </c>
      <c r="P17">
        <f t="shared" si="3"/>
        <v>97.929999999999993</v>
      </c>
      <c r="U17">
        <v>12</v>
      </c>
      <c r="V17" t="s">
        <v>147</v>
      </c>
      <c r="W17" s="6">
        <f t="shared" si="4"/>
        <v>737931</v>
      </c>
      <c r="X17">
        <f t="shared" si="1"/>
        <v>2.5699999999999994</v>
      </c>
      <c r="AC17" t="s">
        <v>150</v>
      </c>
      <c r="AD17" s="9">
        <f>AD16-W17</f>
        <v>294847</v>
      </c>
      <c r="AE17" s="10">
        <f>AD17/W3</f>
        <v>1.0242885481985556E-2</v>
      </c>
    </row>
    <row r="18" spans="2:31" x14ac:dyDescent="0.45">
      <c r="B18">
        <v>0</v>
      </c>
      <c r="C18">
        <v>0</v>
      </c>
      <c r="D18" t="s">
        <v>147</v>
      </c>
      <c r="E18" t="s">
        <v>130</v>
      </c>
      <c r="F18" t="s">
        <v>44</v>
      </c>
      <c r="G18" t="s">
        <v>45</v>
      </c>
      <c r="H18">
        <v>17</v>
      </c>
      <c r="I18">
        <v>1</v>
      </c>
      <c r="J18">
        <v>1</v>
      </c>
      <c r="K18">
        <v>0</v>
      </c>
      <c r="L18" t="s">
        <v>46</v>
      </c>
      <c r="M18">
        <v>0.2</v>
      </c>
      <c r="N18" s="1">
        <v>94779</v>
      </c>
      <c r="O18">
        <v>0.33</v>
      </c>
      <c r="P18">
        <f t="shared" si="3"/>
        <v>98.259999999999991</v>
      </c>
    </row>
    <row r="19" spans="2:31" x14ac:dyDescent="0.45">
      <c r="B19">
        <v>0</v>
      </c>
      <c r="C19">
        <v>0</v>
      </c>
      <c r="D19" t="str">
        <f t="shared" si="7"/>
        <v>Left</v>
      </c>
      <c r="E19" t="s">
        <v>129</v>
      </c>
      <c r="F19" t="s">
        <v>47</v>
      </c>
      <c r="G19" t="s">
        <v>48</v>
      </c>
      <c r="H19">
        <v>44</v>
      </c>
      <c r="I19">
        <v>0</v>
      </c>
      <c r="J19">
        <v>0</v>
      </c>
      <c r="K19">
        <v>0</v>
      </c>
      <c r="M19">
        <v>0</v>
      </c>
      <c r="N19" s="1">
        <v>92685</v>
      </c>
      <c r="O19">
        <v>0.32</v>
      </c>
      <c r="P19">
        <f t="shared" si="3"/>
        <v>98.579999999999984</v>
      </c>
    </row>
    <row r="20" spans="2:31" x14ac:dyDescent="0.45">
      <c r="B20">
        <v>0</v>
      </c>
      <c r="C20">
        <v>0</v>
      </c>
      <c r="D20" t="s">
        <v>147</v>
      </c>
      <c r="E20" t="s">
        <v>129</v>
      </c>
      <c r="F20" t="s">
        <v>49</v>
      </c>
      <c r="G20" t="s">
        <v>50</v>
      </c>
      <c r="H20">
        <v>18</v>
      </c>
      <c r="I20">
        <v>2</v>
      </c>
      <c r="J20">
        <v>0</v>
      </c>
      <c r="K20">
        <v>0</v>
      </c>
      <c r="M20">
        <v>0.3</v>
      </c>
      <c r="N20" s="1">
        <v>86861</v>
      </c>
      <c r="O20">
        <v>0.3</v>
      </c>
      <c r="P20">
        <f t="shared" si="3"/>
        <v>98.879999999999981</v>
      </c>
    </row>
    <row r="21" spans="2:31" x14ac:dyDescent="0.45">
      <c r="B21">
        <v>0</v>
      </c>
      <c r="C21">
        <v>0</v>
      </c>
      <c r="D21" t="s">
        <v>147</v>
      </c>
      <c r="E21" t="s">
        <v>130</v>
      </c>
      <c r="F21" t="s">
        <v>51</v>
      </c>
      <c r="G21" t="s">
        <v>52</v>
      </c>
      <c r="H21">
        <v>14</v>
      </c>
      <c r="I21">
        <v>1</v>
      </c>
      <c r="J21" t="s">
        <v>53</v>
      </c>
      <c r="K21" t="s">
        <v>53</v>
      </c>
      <c r="L21" t="s">
        <v>53</v>
      </c>
      <c r="M21">
        <v>0.1</v>
      </c>
      <c r="N21" s="1">
        <v>48685</v>
      </c>
      <c r="O21">
        <v>0.17</v>
      </c>
      <c r="P21">
        <f t="shared" si="3"/>
        <v>99.049999999999983</v>
      </c>
    </row>
    <row r="22" spans="2:31" x14ac:dyDescent="0.45">
      <c r="B22">
        <v>0</v>
      </c>
      <c r="C22">
        <v>0</v>
      </c>
      <c r="D22" t="str">
        <f t="shared" si="7"/>
        <v>Left</v>
      </c>
      <c r="E22" t="s">
        <v>129</v>
      </c>
      <c r="F22" t="s">
        <v>54</v>
      </c>
      <c r="G22" t="s">
        <v>55</v>
      </c>
      <c r="H22">
        <v>122</v>
      </c>
      <c r="I22">
        <v>0</v>
      </c>
      <c r="J22">
        <v>0</v>
      </c>
      <c r="K22">
        <v>0</v>
      </c>
      <c r="M22">
        <v>0</v>
      </c>
      <c r="N22" s="1">
        <v>33811</v>
      </c>
      <c r="O22">
        <v>0.12</v>
      </c>
      <c r="P22">
        <f t="shared" si="3"/>
        <v>99.169999999999987</v>
      </c>
    </row>
    <row r="23" spans="2:31" x14ac:dyDescent="0.45">
      <c r="B23">
        <v>0</v>
      </c>
      <c r="C23">
        <v>0</v>
      </c>
      <c r="D23" s="2" t="s">
        <v>8</v>
      </c>
      <c r="E23" t="s">
        <v>131</v>
      </c>
      <c r="F23" t="s">
        <v>56</v>
      </c>
      <c r="G23" t="s">
        <v>57</v>
      </c>
      <c r="H23">
        <v>1</v>
      </c>
      <c r="I23">
        <v>1</v>
      </c>
      <c r="J23">
        <v>0</v>
      </c>
      <c r="K23">
        <v>0</v>
      </c>
      <c r="M23">
        <v>0.1</v>
      </c>
      <c r="N23" s="1">
        <v>25238</v>
      </c>
      <c r="O23">
        <v>0.09</v>
      </c>
      <c r="P23">
        <f t="shared" si="3"/>
        <v>99.259999999999991</v>
      </c>
    </row>
    <row r="24" spans="2:31" x14ac:dyDescent="0.45">
      <c r="B24">
        <v>0.5</v>
      </c>
      <c r="C24">
        <v>0.5</v>
      </c>
      <c r="D24" t="str">
        <f t="shared" si="7"/>
        <v>OTHER</v>
      </c>
      <c r="E24" t="s">
        <v>132</v>
      </c>
      <c r="F24" t="s">
        <v>58</v>
      </c>
      <c r="G24" t="s">
        <v>59</v>
      </c>
      <c r="H24">
        <v>27</v>
      </c>
      <c r="I24">
        <v>0</v>
      </c>
      <c r="J24">
        <v>0</v>
      </c>
      <c r="K24">
        <v>0</v>
      </c>
      <c r="M24">
        <v>0</v>
      </c>
      <c r="N24" s="1">
        <v>17227</v>
      </c>
      <c r="O24">
        <v>0.06</v>
      </c>
      <c r="P24">
        <f t="shared" si="3"/>
        <v>99.32</v>
      </c>
    </row>
    <row r="25" spans="2:31" x14ac:dyDescent="0.45">
      <c r="B25">
        <v>0</v>
      </c>
      <c r="C25">
        <v>0</v>
      </c>
      <c r="D25" t="str">
        <f t="shared" si="7"/>
        <v>OTHER</v>
      </c>
      <c r="E25" t="s">
        <v>132</v>
      </c>
      <c r="F25" t="s">
        <v>60</v>
      </c>
      <c r="G25" t="s">
        <v>61</v>
      </c>
      <c r="H25">
        <v>5</v>
      </c>
      <c r="I25">
        <v>0</v>
      </c>
      <c r="J25" t="s">
        <v>53</v>
      </c>
      <c r="K25" t="s">
        <v>53</v>
      </c>
      <c r="L25" t="s">
        <v>53</v>
      </c>
      <c r="M25">
        <v>0</v>
      </c>
      <c r="N25" s="1">
        <v>13663</v>
      </c>
      <c r="O25">
        <v>0.05</v>
      </c>
      <c r="P25">
        <f t="shared" si="3"/>
        <v>99.36999999999999</v>
      </c>
    </row>
    <row r="26" spans="2:31" x14ac:dyDescent="0.45">
      <c r="B26">
        <v>0</v>
      </c>
      <c r="C26">
        <v>0</v>
      </c>
      <c r="D26" t="s">
        <v>129</v>
      </c>
      <c r="E26" t="s">
        <v>132</v>
      </c>
      <c r="F26" t="s">
        <v>62</v>
      </c>
      <c r="G26" t="s">
        <v>63</v>
      </c>
      <c r="H26">
        <v>40</v>
      </c>
      <c r="I26">
        <v>0</v>
      </c>
      <c r="J26" t="s">
        <v>53</v>
      </c>
      <c r="K26" t="s">
        <v>53</v>
      </c>
      <c r="L26" t="s">
        <v>53</v>
      </c>
      <c r="M26">
        <v>0</v>
      </c>
      <c r="N26" s="1">
        <v>12562</v>
      </c>
      <c r="O26">
        <v>0.04</v>
      </c>
      <c r="P26">
        <f t="shared" si="3"/>
        <v>99.41</v>
      </c>
    </row>
    <row r="27" spans="2:31" x14ac:dyDescent="0.45">
      <c r="B27">
        <v>0</v>
      </c>
      <c r="C27">
        <v>0</v>
      </c>
      <c r="D27" t="str">
        <f t="shared" si="7"/>
        <v>OTHER</v>
      </c>
      <c r="E27" t="s">
        <v>132</v>
      </c>
      <c r="F27" t="s">
        <v>64</v>
      </c>
      <c r="G27" t="s">
        <v>65</v>
      </c>
      <c r="H27">
        <v>19</v>
      </c>
      <c r="I27">
        <v>0</v>
      </c>
      <c r="J27" t="s">
        <v>36</v>
      </c>
      <c r="K27" t="s">
        <v>36</v>
      </c>
      <c r="L27" t="s">
        <v>36</v>
      </c>
      <c r="M27">
        <v>0</v>
      </c>
      <c r="N27" s="1">
        <v>11784</v>
      </c>
      <c r="O27">
        <v>0.04</v>
      </c>
      <c r="P27">
        <f t="shared" si="3"/>
        <v>99.45</v>
      </c>
    </row>
    <row r="28" spans="2:31" x14ac:dyDescent="0.45">
      <c r="B28">
        <v>0</v>
      </c>
      <c r="C28">
        <v>0</v>
      </c>
      <c r="D28" t="str">
        <f t="shared" si="7"/>
        <v>OTHER</v>
      </c>
      <c r="E28" t="s">
        <v>132</v>
      </c>
      <c r="F28" t="s">
        <v>66</v>
      </c>
      <c r="G28" t="s">
        <v>67</v>
      </c>
      <c r="H28">
        <v>26</v>
      </c>
      <c r="I28">
        <v>0</v>
      </c>
      <c r="J28" t="s">
        <v>36</v>
      </c>
      <c r="K28" t="s">
        <v>36</v>
      </c>
      <c r="L28" t="s">
        <v>36</v>
      </c>
      <c r="M28">
        <v>0</v>
      </c>
      <c r="N28" s="1">
        <v>9245</v>
      </c>
      <c r="O28">
        <v>0.03</v>
      </c>
      <c r="P28">
        <f t="shared" si="3"/>
        <v>99.48</v>
      </c>
    </row>
    <row r="29" spans="2:31" x14ac:dyDescent="0.45">
      <c r="B29">
        <v>0</v>
      </c>
      <c r="C29">
        <v>0</v>
      </c>
      <c r="D29" t="str">
        <f t="shared" si="7"/>
        <v>OTHER</v>
      </c>
      <c r="E29" t="s">
        <v>132</v>
      </c>
      <c r="F29" t="s">
        <v>68</v>
      </c>
      <c r="G29" t="s">
        <v>69</v>
      </c>
      <c r="H29">
        <v>11</v>
      </c>
      <c r="I29">
        <v>0</v>
      </c>
      <c r="J29">
        <v>0</v>
      </c>
      <c r="K29">
        <v>0</v>
      </c>
      <c r="M29">
        <v>0</v>
      </c>
      <c r="N29" s="1">
        <v>8692</v>
      </c>
      <c r="O29">
        <v>0.03</v>
      </c>
      <c r="P29">
        <f t="shared" si="3"/>
        <v>99.51</v>
      </c>
    </row>
    <row r="30" spans="2:31" x14ac:dyDescent="0.45">
      <c r="B30">
        <v>0</v>
      </c>
      <c r="C30">
        <v>0</v>
      </c>
      <c r="D30" t="str">
        <f t="shared" si="7"/>
        <v>OTHER</v>
      </c>
      <c r="E30" t="s">
        <v>132</v>
      </c>
      <c r="F30" t="s">
        <v>70</v>
      </c>
      <c r="G30" t="s">
        <v>71</v>
      </c>
      <c r="H30">
        <v>3</v>
      </c>
      <c r="I30">
        <v>0</v>
      </c>
      <c r="J30">
        <v>0</v>
      </c>
      <c r="K30">
        <v>0</v>
      </c>
      <c r="M30">
        <v>0</v>
      </c>
      <c r="N30" s="1">
        <v>8438</v>
      </c>
      <c r="O30">
        <v>0.03</v>
      </c>
      <c r="P30">
        <f t="shared" si="3"/>
        <v>99.54</v>
      </c>
    </row>
    <row r="31" spans="2:31" x14ac:dyDescent="0.45">
      <c r="B31">
        <v>0</v>
      </c>
      <c r="C31">
        <v>0</v>
      </c>
      <c r="D31" t="s">
        <v>147</v>
      </c>
      <c r="E31" t="s">
        <v>132</v>
      </c>
      <c r="F31" t="s">
        <v>72</v>
      </c>
      <c r="G31" t="s">
        <v>73</v>
      </c>
      <c r="H31">
        <v>10</v>
      </c>
      <c r="I31">
        <v>0</v>
      </c>
      <c r="J31">
        <v>0</v>
      </c>
      <c r="K31">
        <v>0</v>
      </c>
      <c r="M31">
        <v>0</v>
      </c>
      <c r="N31" s="1">
        <v>7466</v>
      </c>
      <c r="O31">
        <v>0.03</v>
      </c>
      <c r="P31">
        <f t="shared" si="3"/>
        <v>99.570000000000007</v>
      </c>
    </row>
    <row r="32" spans="2:31" x14ac:dyDescent="0.45">
      <c r="B32">
        <v>0</v>
      </c>
      <c r="C32">
        <v>0</v>
      </c>
      <c r="D32" t="str">
        <f t="shared" si="7"/>
        <v>OTHER</v>
      </c>
      <c r="E32" t="s">
        <v>132</v>
      </c>
      <c r="F32" t="s">
        <v>74</v>
      </c>
      <c r="G32" t="s">
        <v>75</v>
      </c>
      <c r="H32">
        <v>1</v>
      </c>
      <c r="I32">
        <v>0</v>
      </c>
      <c r="J32" t="s">
        <v>36</v>
      </c>
      <c r="K32" t="s">
        <v>36</v>
      </c>
      <c r="L32" t="s">
        <v>36</v>
      </c>
      <c r="M32">
        <v>0</v>
      </c>
      <c r="N32" s="1">
        <v>7180</v>
      </c>
      <c r="O32">
        <v>0.02</v>
      </c>
      <c r="P32">
        <f t="shared" si="3"/>
        <v>99.59</v>
      </c>
    </row>
    <row r="33" spans="2:16" x14ac:dyDescent="0.45">
      <c r="B33">
        <v>0</v>
      </c>
      <c r="C33">
        <v>0</v>
      </c>
      <c r="D33" t="s">
        <v>130</v>
      </c>
      <c r="E33" t="s">
        <v>132</v>
      </c>
      <c r="F33" t="s">
        <v>76</v>
      </c>
      <c r="G33" t="s">
        <v>77</v>
      </c>
      <c r="H33">
        <v>41</v>
      </c>
      <c r="I33">
        <v>0</v>
      </c>
      <c r="J33" t="s">
        <v>36</v>
      </c>
      <c r="K33" t="s">
        <v>36</v>
      </c>
      <c r="L33" t="s">
        <v>36</v>
      </c>
      <c r="M33">
        <v>0</v>
      </c>
      <c r="N33" s="1">
        <v>6597</v>
      </c>
      <c r="O33">
        <v>0.02</v>
      </c>
      <c r="P33">
        <f t="shared" si="3"/>
        <v>99.61</v>
      </c>
    </row>
    <row r="34" spans="2:16" x14ac:dyDescent="0.45">
      <c r="B34">
        <v>0</v>
      </c>
      <c r="C34">
        <v>0</v>
      </c>
      <c r="D34" t="s">
        <v>130</v>
      </c>
      <c r="E34" t="s">
        <v>132</v>
      </c>
      <c r="F34" t="s">
        <v>78</v>
      </c>
      <c r="G34" t="s">
        <v>79</v>
      </c>
      <c r="H34">
        <v>24</v>
      </c>
      <c r="I34">
        <v>0</v>
      </c>
      <c r="J34">
        <v>0</v>
      </c>
      <c r="K34">
        <v>0</v>
      </c>
      <c r="M34">
        <v>0</v>
      </c>
      <c r="N34" s="1">
        <v>6530</v>
      </c>
      <c r="O34">
        <v>0.02</v>
      </c>
      <c r="P34">
        <f t="shared" si="3"/>
        <v>99.63</v>
      </c>
    </row>
    <row r="35" spans="2:16" x14ac:dyDescent="0.45">
      <c r="B35">
        <v>0</v>
      </c>
      <c r="C35">
        <v>0</v>
      </c>
      <c r="D35" t="str">
        <f t="shared" si="7"/>
        <v>OTHER</v>
      </c>
      <c r="E35" t="s">
        <v>132</v>
      </c>
      <c r="F35" t="s">
        <v>80</v>
      </c>
      <c r="G35" t="s">
        <v>81</v>
      </c>
      <c r="H35">
        <v>12</v>
      </c>
      <c r="I35">
        <v>0</v>
      </c>
      <c r="J35">
        <v>0</v>
      </c>
      <c r="K35">
        <v>0</v>
      </c>
      <c r="M35">
        <v>0</v>
      </c>
      <c r="N35" s="1">
        <v>6375</v>
      </c>
      <c r="O35">
        <v>0.02</v>
      </c>
      <c r="P35">
        <f t="shared" si="3"/>
        <v>99.649999999999991</v>
      </c>
    </row>
    <row r="36" spans="2:16" x14ac:dyDescent="0.45">
      <c r="B36">
        <v>0</v>
      </c>
      <c r="C36">
        <v>0</v>
      </c>
      <c r="D36" t="str">
        <f t="shared" si="7"/>
        <v>OTHER</v>
      </c>
      <c r="E36" t="s">
        <v>132</v>
      </c>
      <c r="F36" t="s">
        <v>82</v>
      </c>
      <c r="G36" t="s">
        <v>83</v>
      </c>
      <c r="H36">
        <v>1</v>
      </c>
      <c r="I36">
        <v>0</v>
      </c>
      <c r="J36">
        <v>0</v>
      </c>
      <c r="K36">
        <v>0</v>
      </c>
      <c r="M36">
        <v>0</v>
      </c>
      <c r="N36" s="1">
        <v>6276</v>
      </c>
      <c r="O36">
        <v>0.02</v>
      </c>
      <c r="P36">
        <f t="shared" si="3"/>
        <v>99.669999999999987</v>
      </c>
    </row>
    <row r="37" spans="2:16" x14ac:dyDescent="0.45">
      <c r="B37">
        <v>0</v>
      </c>
      <c r="C37">
        <v>0</v>
      </c>
      <c r="D37" t="str">
        <f t="shared" si="7"/>
        <v>OTHER</v>
      </c>
      <c r="E37" t="s">
        <v>132</v>
      </c>
      <c r="F37" t="s">
        <v>84</v>
      </c>
      <c r="G37" t="s">
        <v>85</v>
      </c>
      <c r="H37">
        <v>22</v>
      </c>
      <c r="I37">
        <v>0</v>
      </c>
      <c r="J37">
        <v>0</v>
      </c>
      <c r="K37">
        <v>0</v>
      </c>
      <c r="M37">
        <v>0</v>
      </c>
      <c r="N37" s="1">
        <v>5814</v>
      </c>
      <c r="O37">
        <v>0.02</v>
      </c>
      <c r="P37">
        <f t="shared" si="3"/>
        <v>99.689999999999984</v>
      </c>
    </row>
    <row r="38" spans="2:16" x14ac:dyDescent="0.45">
      <c r="B38">
        <v>0</v>
      </c>
      <c r="C38">
        <v>0</v>
      </c>
      <c r="D38" t="s">
        <v>130</v>
      </c>
      <c r="E38" t="s">
        <v>132</v>
      </c>
      <c r="F38" t="s">
        <v>86</v>
      </c>
      <c r="G38" t="s">
        <v>87</v>
      </c>
      <c r="H38">
        <v>22</v>
      </c>
      <c r="I38">
        <v>0</v>
      </c>
      <c r="J38">
        <v>0</v>
      </c>
      <c r="K38">
        <v>0</v>
      </c>
      <c r="M38">
        <v>0</v>
      </c>
      <c r="N38" s="1">
        <v>5604</v>
      </c>
      <c r="O38">
        <v>0.02</v>
      </c>
      <c r="P38">
        <f t="shared" si="3"/>
        <v>99.70999999999998</v>
      </c>
    </row>
    <row r="39" spans="2:16" x14ac:dyDescent="0.45">
      <c r="B39">
        <v>0</v>
      </c>
      <c r="C39">
        <v>0</v>
      </c>
      <c r="D39" t="str">
        <f t="shared" si="7"/>
        <v>OTHER</v>
      </c>
      <c r="E39" t="s">
        <v>132</v>
      </c>
      <c r="F39" t="s">
        <v>88</v>
      </c>
      <c r="G39" t="s">
        <v>89</v>
      </c>
      <c r="H39">
        <v>16</v>
      </c>
      <c r="I39">
        <v>0</v>
      </c>
      <c r="J39">
        <v>0</v>
      </c>
      <c r="K39">
        <v>0</v>
      </c>
      <c r="M39">
        <v>0</v>
      </c>
      <c r="N39" s="1">
        <v>5425</v>
      </c>
      <c r="O39">
        <v>0.02</v>
      </c>
      <c r="P39">
        <f t="shared" si="3"/>
        <v>99.729999999999976</v>
      </c>
    </row>
    <row r="40" spans="2:16" x14ac:dyDescent="0.45">
      <c r="B40">
        <v>0</v>
      </c>
      <c r="C40">
        <v>0</v>
      </c>
      <c r="D40" t="str">
        <f t="shared" si="7"/>
        <v>OTHER</v>
      </c>
      <c r="E40" t="s">
        <v>132</v>
      </c>
      <c r="F40" t="s">
        <v>90</v>
      </c>
      <c r="G40" t="s">
        <v>91</v>
      </c>
      <c r="H40">
        <v>15</v>
      </c>
      <c r="I40">
        <v>0</v>
      </c>
      <c r="J40">
        <v>0</v>
      </c>
      <c r="K40">
        <v>0</v>
      </c>
      <c r="M40">
        <v>0</v>
      </c>
      <c r="N40" s="1">
        <v>5182</v>
      </c>
      <c r="O40">
        <v>0.02</v>
      </c>
      <c r="P40">
        <f t="shared" si="3"/>
        <v>99.749999999999972</v>
      </c>
    </row>
    <row r="41" spans="2:16" x14ac:dyDescent="0.45">
      <c r="B41">
        <v>0</v>
      </c>
      <c r="C41">
        <v>0</v>
      </c>
      <c r="D41" t="str">
        <f t="shared" si="7"/>
        <v>OTHER</v>
      </c>
      <c r="E41" t="s">
        <v>132</v>
      </c>
      <c r="F41" t="s">
        <v>92</v>
      </c>
      <c r="G41" t="s">
        <v>93</v>
      </c>
      <c r="H41">
        <v>16</v>
      </c>
      <c r="I41">
        <v>0</v>
      </c>
      <c r="J41" t="s">
        <v>36</v>
      </c>
      <c r="K41" t="s">
        <v>36</v>
      </c>
      <c r="L41" t="s">
        <v>36</v>
      </c>
      <c r="M41">
        <v>0</v>
      </c>
      <c r="N41" s="1">
        <v>5077</v>
      </c>
      <c r="O41">
        <v>0.02</v>
      </c>
      <c r="P41">
        <f t="shared" si="3"/>
        <v>99.769999999999968</v>
      </c>
    </row>
    <row r="42" spans="2:16" x14ac:dyDescent="0.45">
      <c r="B42">
        <v>0</v>
      </c>
      <c r="C42">
        <v>0</v>
      </c>
      <c r="D42" t="str">
        <f t="shared" si="7"/>
        <v>OTHER</v>
      </c>
      <c r="E42" t="s">
        <v>132</v>
      </c>
      <c r="F42" t="s">
        <v>94</v>
      </c>
      <c r="G42" t="s">
        <v>61</v>
      </c>
      <c r="H42">
        <v>2</v>
      </c>
      <c r="I42">
        <v>0</v>
      </c>
      <c r="J42">
        <v>0</v>
      </c>
      <c r="K42">
        <v>0</v>
      </c>
      <c r="M42">
        <v>0</v>
      </c>
      <c r="N42" s="1">
        <v>4277</v>
      </c>
      <c r="O42">
        <v>0.01</v>
      </c>
      <c r="P42">
        <f t="shared" si="3"/>
        <v>99.779999999999973</v>
      </c>
    </row>
    <row r="43" spans="2:16" x14ac:dyDescent="0.45">
      <c r="B43">
        <v>0</v>
      </c>
      <c r="C43">
        <v>0</v>
      </c>
      <c r="D43" t="str">
        <f t="shared" si="7"/>
        <v>OTHER</v>
      </c>
      <c r="E43" t="s">
        <v>132</v>
      </c>
      <c r="F43" t="s">
        <v>95</v>
      </c>
      <c r="G43" t="s">
        <v>96</v>
      </c>
      <c r="H43">
        <v>2</v>
      </c>
      <c r="I43">
        <v>0</v>
      </c>
      <c r="J43" t="s">
        <v>36</v>
      </c>
      <c r="K43" t="s">
        <v>36</v>
      </c>
      <c r="L43" t="s">
        <v>36</v>
      </c>
      <c r="M43">
        <v>0</v>
      </c>
      <c r="N43" s="1">
        <v>4008</v>
      </c>
      <c r="O43">
        <v>0.01</v>
      </c>
      <c r="P43">
        <f t="shared" si="3"/>
        <v>99.789999999999978</v>
      </c>
    </row>
    <row r="44" spans="2:16" x14ac:dyDescent="0.45">
      <c r="B44">
        <v>0</v>
      </c>
      <c r="C44">
        <v>0</v>
      </c>
      <c r="D44" t="str">
        <f t="shared" si="7"/>
        <v>OTHER</v>
      </c>
      <c r="E44" t="s">
        <v>132</v>
      </c>
      <c r="F44" t="s">
        <v>97</v>
      </c>
      <c r="G44" t="s">
        <v>98</v>
      </c>
      <c r="H44">
        <v>12</v>
      </c>
      <c r="I44">
        <v>0</v>
      </c>
      <c r="J44">
        <v>0</v>
      </c>
      <c r="K44">
        <v>0</v>
      </c>
      <c r="M44">
        <v>0</v>
      </c>
      <c r="N44" s="1">
        <v>3609</v>
      </c>
      <c r="O44">
        <v>0.01</v>
      </c>
      <c r="P44">
        <f t="shared" si="3"/>
        <v>99.799999999999983</v>
      </c>
    </row>
    <row r="45" spans="2:16" x14ac:dyDescent="0.45">
      <c r="B45">
        <v>0</v>
      </c>
      <c r="C45">
        <v>0</v>
      </c>
      <c r="D45" t="str">
        <f t="shared" si="7"/>
        <v>OTHER</v>
      </c>
      <c r="E45" t="s">
        <v>132</v>
      </c>
      <c r="F45" t="s">
        <v>99</v>
      </c>
      <c r="G45" t="s">
        <v>100</v>
      </c>
      <c r="H45">
        <v>1</v>
      </c>
      <c r="I45">
        <v>0</v>
      </c>
      <c r="J45" t="s">
        <v>36</v>
      </c>
      <c r="K45" t="s">
        <v>36</v>
      </c>
      <c r="L45" t="s">
        <v>36</v>
      </c>
      <c r="M45">
        <v>0</v>
      </c>
      <c r="N45" s="1">
        <v>3293</v>
      </c>
      <c r="O45">
        <v>0.01</v>
      </c>
      <c r="P45">
        <f t="shared" si="3"/>
        <v>99.809999999999988</v>
      </c>
    </row>
    <row r="46" spans="2:16" x14ac:dyDescent="0.45">
      <c r="B46">
        <v>0</v>
      </c>
      <c r="C46">
        <v>0</v>
      </c>
      <c r="D46" t="str">
        <f t="shared" si="7"/>
        <v>OTHER</v>
      </c>
      <c r="E46" t="s">
        <v>132</v>
      </c>
      <c r="F46" t="s">
        <v>101</v>
      </c>
      <c r="G46" t="s">
        <v>102</v>
      </c>
      <c r="H46">
        <v>1</v>
      </c>
      <c r="I46">
        <v>0</v>
      </c>
      <c r="J46" t="s">
        <v>53</v>
      </c>
      <c r="K46" t="s">
        <v>53</v>
      </c>
      <c r="L46" t="s">
        <v>53</v>
      </c>
      <c r="M46">
        <v>0</v>
      </c>
      <c r="N46" s="1">
        <v>3238</v>
      </c>
      <c r="O46">
        <v>0.01</v>
      </c>
      <c r="P46">
        <f t="shared" si="3"/>
        <v>99.82</v>
      </c>
    </row>
    <row r="47" spans="2:16" x14ac:dyDescent="0.45">
      <c r="B47">
        <v>0</v>
      </c>
      <c r="C47">
        <v>0</v>
      </c>
      <c r="D47" t="str">
        <f t="shared" si="7"/>
        <v>OTHER</v>
      </c>
      <c r="E47" t="s">
        <v>132</v>
      </c>
      <c r="F47" t="s">
        <v>103</v>
      </c>
      <c r="G47" t="s">
        <v>104</v>
      </c>
      <c r="H47">
        <v>10</v>
      </c>
      <c r="I47">
        <v>0</v>
      </c>
      <c r="J47" t="s">
        <v>36</v>
      </c>
      <c r="K47" t="s">
        <v>36</v>
      </c>
      <c r="L47" t="s">
        <v>36</v>
      </c>
      <c r="M47">
        <v>0</v>
      </c>
      <c r="N47" s="1">
        <v>2872</v>
      </c>
      <c r="O47">
        <v>0.01</v>
      </c>
      <c r="P47">
        <f t="shared" si="3"/>
        <v>99.83</v>
      </c>
    </row>
    <row r="48" spans="2:16" x14ac:dyDescent="0.45">
      <c r="B48">
        <v>0</v>
      </c>
      <c r="C48">
        <v>0</v>
      </c>
      <c r="D48" t="str">
        <f t="shared" si="7"/>
        <v>OTHER</v>
      </c>
      <c r="E48" t="s">
        <v>132</v>
      </c>
      <c r="F48" t="s">
        <v>105</v>
      </c>
      <c r="G48" t="s">
        <v>106</v>
      </c>
      <c r="H48">
        <v>14</v>
      </c>
      <c r="I48">
        <v>0</v>
      </c>
      <c r="J48" t="s">
        <v>53</v>
      </c>
      <c r="K48" t="s">
        <v>53</v>
      </c>
      <c r="L48" t="s">
        <v>53</v>
      </c>
      <c r="M48">
        <v>0</v>
      </c>
      <c r="N48" s="1">
        <v>2622</v>
      </c>
      <c r="O48">
        <v>0.01</v>
      </c>
      <c r="P48">
        <f t="shared" si="3"/>
        <v>99.84</v>
      </c>
    </row>
    <row r="49" spans="2:16" x14ac:dyDescent="0.45">
      <c r="B49">
        <v>0</v>
      </c>
      <c r="C49">
        <v>0</v>
      </c>
      <c r="D49" t="str">
        <f t="shared" si="7"/>
        <v>OTHER</v>
      </c>
      <c r="E49" t="s">
        <v>132</v>
      </c>
      <c r="F49" t="s">
        <v>107</v>
      </c>
      <c r="G49" t="s">
        <v>108</v>
      </c>
      <c r="H49">
        <v>1</v>
      </c>
      <c r="I49">
        <v>0</v>
      </c>
      <c r="J49" t="s">
        <v>36</v>
      </c>
      <c r="K49" t="s">
        <v>36</v>
      </c>
      <c r="L49" t="s">
        <v>36</v>
      </c>
      <c r="M49">
        <v>0</v>
      </c>
      <c r="N49" s="1">
        <v>2424</v>
      </c>
      <c r="O49">
        <v>0.01</v>
      </c>
      <c r="P49">
        <f t="shared" si="3"/>
        <v>99.850000000000009</v>
      </c>
    </row>
    <row r="50" spans="2:16" x14ac:dyDescent="0.45">
      <c r="B50">
        <v>0</v>
      </c>
      <c r="C50">
        <v>0</v>
      </c>
      <c r="D50" t="str">
        <f t="shared" si="7"/>
        <v>OTHER</v>
      </c>
      <c r="E50" t="s">
        <v>132</v>
      </c>
      <c r="F50" t="s">
        <v>109</v>
      </c>
      <c r="G50" t="s">
        <v>110</v>
      </c>
      <c r="H50">
        <v>1</v>
      </c>
      <c r="I50">
        <v>0</v>
      </c>
      <c r="J50" t="s">
        <v>36</v>
      </c>
      <c r="K50" t="s">
        <v>36</v>
      </c>
      <c r="L50" t="s">
        <v>36</v>
      </c>
      <c r="M50">
        <v>0</v>
      </c>
      <c r="N50" s="1">
        <v>2381</v>
      </c>
      <c r="O50">
        <v>0.01</v>
      </c>
      <c r="P50">
        <f t="shared" si="3"/>
        <v>99.860000000000014</v>
      </c>
    </row>
    <row r="51" spans="2:16" x14ac:dyDescent="0.45">
      <c r="B51">
        <v>0</v>
      </c>
      <c r="C51">
        <v>0</v>
      </c>
      <c r="D51" t="str">
        <f t="shared" si="7"/>
        <v>OTHER</v>
      </c>
      <c r="E51" t="s">
        <v>132</v>
      </c>
      <c r="F51" t="s">
        <v>111</v>
      </c>
      <c r="G51" t="s">
        <v>112</v>
      </c>
      <c r="H51">
        <v>13</v>
      </c>
      <c r="I51">
        <v>0</v>
      </c>
      <c r="J51" t="s">
        <v>36</v>
      </c>
      <c r="K51" t="s">
        <v>36</v>
      </c>
      <c r="L51" t="s">
        <v>36</v>
      </c>
      <c r="M51">
        <v>0</v>
      </c>
      <c r="N51" s="1">
        <v>1967</v>
      </c>
      <c r="O51">
        <v>0.01</v>
      </c>
      <c r="P51">
        <f t="shared" si="3"/>
        <v>99.870000000000019</v>
      </c>
    </row>
    <row r="52" spans="2:16" x14ac:dyDescent="0.45">
      <c r="B52">
        <v>0</v>
      </c>
      <c r="C52">
        <v>0</v>
      </c>
      <c r="D52" t="str">
        <f t="shared" si="7"/>
        <v>OTHER</v>
      </c>
      <c r="E52" t="s">
        <v>132</v>
      </c>
      <c r="F52" t="s">
        <v>113</v>
      </c>
      <c r="G52" t="s">
        <v>114</v>
      </c>
      <c r="H52">
        <v>1</v>
      </c>
      <c r="I52">
        <v>0</v>
      </c>
      <c r="J52" t="s">
        <v>36</v>
      </c>
      <c r="K52" t="s">
        <v>36</v>
      </c>
      <c r="L52" t="s">
        <v>36</v>
      </c>
      <c r="M52">
        <v>0</v>
      </c>
      <c r="N52" s="1">
        <v>1924</v>
      </c>
      <c r="O52">
        <v>0.01</v>
      </c>
      <c r="P52">
        <f t="shared" si="3"/>
        <v>99.880000000000024</v>
      </c>
    </row>
    <row r="53" spans="2:16" x14ac:dyDescent="0.45">
      <c r="B53">
        <v>0</v>
      </c>
      <c r="C53">
        <v>0</v>
      </c>
      <c r="D53" t="str">
        <f t="shared" si="7"/>
        <v>OTHER</v>
      </c>
      <c r="E53" t="s">
        <v>132</v>
      </c>
      <c r="F53" t="s">
        <v>115</v>
      </c>
      <c r="G53" t="s">
        <v>116</v>
      </c>
      <c r="H53">
        <v>4</v>
      </c>
      <c r="I53">
        <v>0</v>
      </c>
      <c r="J53" t="s">
        <v>53</v>
      </c>
      <c r="K53" t="s">
        <v>53</v>
      </c>
      <c r="L53" t="s">
        <v>53</v>
      </c>
      <c r="M53">
        <v>0</v>
      </c>
      <c r="N53" s="1">
        <v>1860</v>
      </c>
      <c r="O53">
        <v>0.01</v>
      </c>
      <c r="P53">
        <f t="shared" si="3"/>
        <v>99.890000000000029</v>
      </c>
    </row>
    <row r="54" spans="2:16" x14ac:dyDescent="0.45">
      <c r="B54">
        <v>0</v>
      </c>
      <c r="C54">
        <v>0</v>
      </c>
      <c r="D54" t="str">
        <f t="shared" si="7"/>
        <v>OTHER</v>
      </c>
      <c r="E54" t="s">
        <v>132</v>
      </c>
      <c r="F54" t="s">
        <v>117</v>
      </c>
      <c r="G54" t="s">
        <v>118</v>
      </c>
      <c r="H54">
        <v>4</v>
      </c>
      <c r="I54">
        <v>0</v>
      </c>
      <c r="J54" t="s">
        <v>53</v>
      </c>
      <c r="K54" t="s">
        <v>53</v>
      </c>
      <c r="L54" t="s">
        <v>53</v>
      </c>
      <c r="M54">
        <v>0</v>
      </c>
      <c r="N54" s="1">
        <v>1695</v>
      </c>
      <c r="O54">
        <v>0.01</v>
      </c>
      <c r="P54">
        <f t="shared" si="3"/>
        <v>99.900000000000034</v>
      </c>
    </row>
    <row r="55" spans="2:16" x14ac:dyDescent="0.45">
      <c r="B55">
        <v>0</v>
      </c>
      <c r="C55">
        <v>0</v>
      </c>
      <c r="D55" t="str">
        <f t="shared" si="7"/>
        <v>OTHER</v>
      </c>
      <c r="E55" t="s">
        <v>132</v>
      </c>
      <c r="F55" t="s">
        <v>119</v>
      </c>
      <c r="G55" t="s">
        <v>120</v>
      </c>
      <c r="H55">
        <v>9</v>
      </c>
      <c r="I55">
        <v>0</v>
      </c>
      <c r="J55" t="s">
        <v>36</v>
      </c>
      <c r="K55" t="s">
        <v>36</v>
      </c>
      <c r="L55" t="s">
        <v>36</v>
      </c>
      <c r="M55">
        <v>0</v>
      </c>
      <c r="N55" s="1">
        <v>1586</v>
      </c>
      <c r="O55">
        <v>0.01</v>
      </c>
      <c r="P55">
        <f t="shared" si="3"/>
        <v>99.910000000000039</v>
      </c>
    </row>
    <row r="56" spans="2:16" x14ac:dyDescent="0.45">
      <c r="B56">
        <v>0</v>
      </c>
      <c r="C56">
        <v>0</v>
      </c>
      <c r="D56" t="str">
        <f t="shared" si="7"/>
        <v>OTHER</v>
      </c>
      <c r="E56" t="s">
        <v>132</v>
      </c>
      <c r="F56" t="s">
        <v>121</v>
      </c>
      <c r="G56" t="s">
        <v>122</v>
      </c>
      <c r="H56">
        <v>1</v>
      </c>
      <c r="I56">
        <v>0</v>
      </c>
      <c r="J56">
        <v>0</v>
      </c>
      <c r="K56">
        <v>0</v>
      </c>
      <c r="M56">
        <v>0</v>
      </c>
      <c r="N56" s="1">
        <v>1581</v>
      </c>
      <c r="O56">
        <v>0.01</v>
      </c>
      <c r="P56">
        <f t="shared" si="3"/>
        <v>99.920000000000044</v>
      </c>
    </row>
    <row r="57" spans="2:16" x14ac:dyDescent="0.45">
      <c r="B57">
        <v>0</v>
      </c>
      <c r="C57">
        <v>0</v>
      </c>
      <c r="D57" t="str">
        <f t="shared" si="7"/>
        <v>OTHER</v>
      </c>
      <c r="E57" t="s">
        <v>132</v>
      </c>
      <c r="F57" t="s">
        <v>123</v>
      </c>
      <c r="G57" t="s">
        <v>124</v>
      </c>
      <c r="H57">
        <v>4</v>
      </c>
      <c r="I57">
        <v>0</v>
      </c>
      <c r="J57" t="s">
        <v>36</v>
      </c>
      <c r="K57" t="s">
        <v>36</v>
      </c>
      <c r="L57" t="s">
        <v>36</v>
      </c>
      <c r="M57">
        <v>0</v>
      </c>
      <c r="N57" s="1">
        <v>1563</v>
      </c>
      <c r="O57">
        <v>0.01</v>
      </c>
      <c r="P57">
        <f t="shared" si="3"/>
        <v>99.930000000000049</v>
      </c>
    </row>
    <row r="58" spans="2:16" x14ac:dyDescent="0.45">
      <c r="B58">
        <v>0</v>
      </c>
      <c r="C58">
        <v>0</v>
      </c>
      <c r="D58" t="str">
        <f t="shared" si="7"/>
        <v>OTHER</v>
      </c>
      <c r="E58" t="s">
        <v>132</v>
      </c>
      <c r="F58" t="s">
        <v>125</v>
      </c>
      <c r="G58" t="s">
        <v>126</v>
      </c>
      <c r="H58">
        <v>3</v>
      </c>
      <c r="I58">
        <v>0</v>
      </c>
      <c r="J58" t="s">
        <v>53</v>
      </c>
      <c r="K58" t="s">
        <v>53</v>
      </c>
      <c r="L58" t="s">
        <v>53</v>
      </c>
      <c r="M58">
        <v>0</v>
      </c>
      <c r="N58" s="1">
        <v>1521</v>
      </c>
      <c r="O58">
        <v>0.01</v>
      </c>
      <c r="P58">
        <f t="shared" si="3"/>
        <v>99.940000000000055</v>
      </c>
    </row>
    <row r="59" spans="2:16" x14ac:dyDescent="0.45">
      <c r="B59">
        <v>0</v>
      </c>
      <c r="C59">
        <v>0</v>
      </c>
      <c r="D59" t="str">
        <f t="shared" si="7"/>
        <v>OTHER</v>
      </c>
      <c r="E59" t="s">
        <v>132</v>
      </c>
      <c r="F59" t="s">
        <v>127</v>
      </c>
      <c r="G59" t="s">
        <v>128</v>
      </c>
      <c r="H59">
        <v>4</v>
      </c>
      <c r="I59">
        <v>0</v>
      </c>
      <c r="J59">
        <v>0</v>
      </c>
      <c r="K59">
        <v>0</v>
      </c>
      <c r="M59">
        <v>0</v>
      </c>
      <c r="N59" s="1">
        <v>1486</v>
      </c>
      <c r="O59">
        <v>0.01</v>
      </c>
      <c r="P59">
        <f t="shared" si="3"/>
        <v>99.95000000000006</v>
      </c>
    </row>
    <row r="60" spans="2:16" x14ac:dyDescent="0.45">
      <c r="N60" s="1"/>
    </row>
    <row r="61" spans="2:16" x14ac:dyDescent="0.45">
      <c r="N61" s="1"/>
    </row>
    <row r="62" spans="2:16" x14ac:dyDescent="0.45">
      <c r="N62" s="1"/>
    </row>
    <row r="63" spans="2:16" x14ac:dyDescent="0.45">
      <c r="N63" s="1"/>
    </row>
    <row r="64" spans="2:16" x14ac:dyDescent="0.45">
      <c r="N64" s="1"/>
    </row>
    <row r="65" spans="14:14" x14ac:dyDescent="0.45">
      <c r="N65" s="1"/>
    </row>
    <row r="80" spans="14:14" x14ac:dyDescent="0.45">
      <c r="N80" s="1"/>
    </row>
    <row r="81" spans="8:14" x14ac:dyDescent="0.45">
      <c r="N81" s="1"/>
    </row>
    <row r="82" spans="8:14" x14ac:dyDescent="0.45">
      <c r="H82" s="1"/>
      <c r="N82" s="1"/>
    </row>
    <row r="83" spans="8:14" x14ac:dyDescent="0.45">
      <c r="N83" s="1"/>
    </row>
  </sheetData>
  <sortState xmlns:xlrd2="http://schemas.microsoft.com/office/spreadsheetml/2017/richdata2" ref="U6:V16">
    <sortCondition ref="U6:U16"/>
  </sortState>
  <conditionalFormatting sqref="B6:C59">
    <cfRule type="colorScale" priority="1">
      <colorScale>
        <cfvo type="min"/>
        <cfvo type="max"/>
        <color rgb="FFFCFCFF"/>
        <color rgb="FF63BE7B"/>
      </colorScale>
    </cfRule>
  </conditionalFormatting>
  <conditionalFormatting sqref="O6:O2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6:W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6:X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5B4A6-1C42-49DE-842A-2AABD57FF986}">
  <dimension ref="A2:S58"/>
  <sheetViews>
    <sheetView workbookViewId="0">
      <selection activeCell="R13" sqref="R6:S13"/>
    </sheetView>
  </sheetViews>
  <sheetFormatPr defaultRowHeight="14.25" x14ac:dyDescent="0.45"/>
  <cols>
    <col min="3" max="3" width="22.3984375" customWidth="1"/>
    <col min="4" max="4" width="26.06640625" customWidth="1"/>
    <col min="12" max="12" width="19.73046875" customWidth="1"/>
    <col min="19" max="19" width="13.59765625" bestFit="1" customWidth="1"/>
  </cols>
  <sheetData>
    <row r="2" spans="1:19" x14ac:dyDescent="0.45">
      <c r="A2">
        <f>SUMPRODUCT(A6:A55,$L$6:$L$55)</f>
        <v>140660.5</v>
      </c>
      <c r="B2">
        <f>SUMPRODUCT(B6:B55,$L$6:$L$55)</f>
        <v>299230.5</v>
      </c>
    </row>
    <row r="4" spans="1:19" x14ac:dyDescent="0.45">
      <c r="C4" t="s">
        <v>152</v>
      </c>
      <c r="D4" t="s">
        <v>152</v>
      </c>
      <c r="E4" t="s">
        <v>1</v>
      </c>
      <c r="F4" t="s">
        <v>2</v>
      </c>
      <c r="G4" t="s">
        <v>153</v>
      </c>
      <c r="H4" t="s">
        <v>153</v>
      </c>
      <c r="I4" t="s">
        <v>153</v>
      </c>
      <c r="J4" t="s">
        <v>153</v>
      </c>
      <c r="K4" t="s">
        <v>153</v>
      </c>
      <c r="L4" t="s">
        <v>151</v>
      </c>
      <c r="M4" t="s">
        <v>151</v>
      </c>
      <c r="N4" t="s">
        <v>151</v>
      </c>
    </row>
    <row r="5" spans="1:19" x14ac:dyDescent="0.45">
      <c r="A5" t="s">
        <v>148</v>
      </c>
      <c r="B5" t="s">
        <v>149</v>
      </c>
      <c r="C5" t="s">
        <v>152</v>
      </c>
      <c r="D5" t="s">
        <v>152</v>
      </c>
      <c r="E5" t="s">
        <v>1</v>
      </c>
      <c r="F5" t="s">
        <v>2</v>
      </c>
      <c r="G5" t="s">
        <v>3</v>
      </c>
      <c r="H5" t="s">
        <v>154</v>
      </c>
      <c r="I5" t="s">
        <v>155</v>
      </c>
      <c r="J5" t="s">
        <v>6</v>
      </c>
      <c r="K5" t="s">
        <v>156</v>
      </c>
      <c r="L5" t="s">
        <v>3</v>
      </c>
      <c r="M5" t="s">
        <v>156</v>
      </c>
      <c r="N5" t="s">
        <v>157</v>
      </c>
    </row>
    <row r="6" spans="1:19" x14ac:dyDescent="0.45">
      <c r="A6">
        <v>0</v>
      </c>
      <c r="B6">
        <v>0</v>
      </c>
      <c r="C6" s="11" t="s">
        <v>15</v>
      </c>
      <c r="D6" t="s">
        <v>15</v>
      </c>
      <c r="E6" t="s">
        <v>158</v>
      </c>
      <c r="F6">
        <v>635</v>
      </c>
      <c r="G6">
        <v>365</v>
      </c>
      <c r="H6">
        <v>58</v>
      </c>
      <c r="I6">
        <v>10</v>
      </c>
      <c r="J6">
        <v>48</v>
      </c>
      <c r="K6">
        <v>56.2</v>
      </c>
      <c r="L6" s="1">
        <v>13966454</v>
      </c>
      <c r="M6">
        <v>43.63</v>
      </c>
      <c r="N6">
        <v>1.2</v>
      </c>
      <c r="R6" t="s">
        <v>148</v>
      </c>
      <c r="S6">
        <f>A2</f>
        <v>140660.5</v>
      </c>
    </row>
    <row r="7" spans="1:19" x14ac:dyDescent="0.45">
      <c r="A7">
        <v>0</v>
      </c>
      <c r="B7">
        <v>0</v>
      </c>
      <c r="C7" s="11" t="s">
        <v>8</v>
      </c>
      <c r="D7" t="s">
        <v>8</v>
      </c>
      <c r="E7" t="s">
        <v>159</v>
      </c>
      <c r="F7" t="s">
        <v>160</v>
      </c>
      <c r="G7" t="s">
        <v>161</v>
      </c>
      <c r="H7">
        <v>1</v>
      </c>
      <c r="I7" t="s">
        <v>162</v>
      </c>
      <c r="J7" t="s">
        <v>163</v>
      </c>
      <c r="K7" t="s">
        <v>164</v>
      </c>
      <c r="L7" s="1">
        <v>10269051</v>
      </c>
      <c r="M7" t="s">
        <v>165</v>
      </c>
      <c r="N7" t="s">
        <v>166</v>
      </c>
      <c r="R7" t="s">
        <v>238</v>
      </c>
      <c r="S7" s="6">
        <f ca="1">SUMIF($C$6:$C$55,R7,$L$6:$L$54)</f>
        <v>644257</v>
      </c>
    </row>
    <row r="8" spans="1:19" x14ac:dyDescent="0.45">
      <c r="A8">
        <v>0</v>
      </c>
      <c r="B8">
        <v>0</v>
      </c>
      <c r="C8" s="11" t="s">
        <v>20</v>
      </c>
      <c r="D8" t="s">
        <v>20</v>
      </c>
      <c r="E8" t="s">
        <v>167</v>
      </c>
      <c r="F8">
        <v>611</v>
      </c>
      <c r="G8">
        <v>11</v>
      </c>
      <c r="H8">
        <v>3</v>
      </c>
      <c r="I8">
        <v>4</v>
      </c>
      <c r="J8">
        <v>1</v>
      </c>
      <c r="K8">
        <v>1.7</v>
      </c>
      <c r="L8" s="1">
        <v>3696419</v>
      </c>
      <c r="M8">
        <v>11.55</v>
      </c>
      <c r="N8">
        <v>4.2</v>
      </c>
      <c r="R8" t="s">
        <v>15</v>
      </c>
      <c r="S8" s="6">
        <f t="shared" ref="S8:S12" ca="1" si="0">SUMIF($C$6:$C$55,R8,$L$6:$L$54)</f>
        <v>13966454</v>
      </c>
    </row>
    <row r="9" spans="1:19" x14ac:dyDescent="0.45">
      <c r="A9">
        <v>0</v>
      </c>
      <c r="B9">
        <v>0</v>
      </c>
      <c r="C9" s="11" t="s">
        <v>26</v>
      </c>
      <c r="D9" t="s">
        <v>26</v>
      </c>
      <c r="E9" t="s">
        <v>168</v>
      </c>
      <c r="F9">
        <v>59</v>
      </c>
      <c r="G9">
        <v>48</v>
      </c>
      <c r="H9">
        <v>14</v>
      </c>
      <c r="I9">
        <v>1</v>
      </c>
      <c r="J9">
        <v>13</v>
      </c>
      <c r="K9">
        <v>7.4</v>
      </c>
      <c r="L9" s="1">
        <v>1242380</v>
      </c>
      <c r="M9">
        <v>3.88</v>
      </c>
      <c r="N9">
        <v>0.8</v>
      </c>
      <c r="R9" t="s">
        <v>20</v>
      </c>
      <c r="S9" s="6">
        <f t="shared" ca="1" si="0"/>
        <v>3696419</v>
      </c>
    </row>
    <row r="10" spans="1:19" x14ac:dyDescent="0.45">
      <c r="A10">
        <v>0</v>
      </c>
      <c r="B10">
        <v>0</v>
      </c>
      <c r="C10" s="11" t="s">
        <v>23</v>
      </c>
      <c r="D10" t="s">
        <v>23</v>
      </c>
      <c r="E10" t="s">
        <v>169</v>
      </c>
      <c r="F10">
        <v>472</v>
      </c>
      <c r="G10">
        <v>1</v>
      </c>
      <c r="H10">
        <v>0</v>
      </c>
      <c r="I10">
        <v>0</v>
      </c>
      <c r="J10">
        <v>0</v>
      </c>
      <c r="K10">
        <v>0.2</v>
      </c>
      <c r="L10" s="1">
        <v>835597</v>
      </c>
      <c r="M10">
        <v>2.61</v>
      </c>
      <c r="N10">
        <v>1.1000000000000001</v>
      </c>
      <c r="R10" t="s">
        <v>8</v>
      </c>
      <c r="S10" s="6">
        <f t="shared" ca="1" si="0"/>
        <v>10295882</v>
      </c>
    </row>
    <row r="11" spans="1:19" x14ac:dyDescent="0.45">
      <c r="A11">
        <v>0</v>
      </c>
      <c r="B11">
        <v>0</v>
      </c>
      <c r="C11" s="11" t="s">
        <v>238</v>
      </c>
      <c r="D11" t="s">
        <v>170</v>
      </c>
      <c r="E11" t="s">
        <v>18</v>
      </c>
      <c r="F11">
        <v>275</v>
      </c>
      <c r="L11" s="1">
        <v>644257</v>
      </c>
      <c r="M11">
        <v>2.0099999999999998</v>
      </c>
      <c r="R11" t="s">
        <v>23</v>
      </c>
      <c r="S11" s="6">
        <f t="shared" ca="1" si="0"/>
        <v>835597</v>
      </c>
    </row>
    <row r="12" spans="1:19" x14ac:dyDescent="0.45">
      <c r="A12">
        <v>0</v>
      </c>
      <c r="B12">
        <v>0</v>
      </c>
      <c r="C12" t="s">
        <v>147</v>
      </c>
      <c r="D12" t="s">
        <v>171</v>
      </c>
      <c r="E12" t="s">
        <v>172</v>
      </c>
      <c r="F12">
        <v>17</v>
      </c>
      <c r="G12">
        <v>8</v>
      </c>
      <c r="H12">
        <v>0</v>
      </c>
      <c r="I12">
        <v>2</v>
      </c>
      <c r="J12">
        <v>2</v>
      </c>
      <c r="K12">
        <v>1.2</v>
      </c>
      <c r="L12" s="1">
        <v>244128</v>
      </c>
      <c r="M12">
        <v>0.76</v>
      </c>
      <c r="N12" t="s">
        <v>173</v>
      </c>
      <c r="R12" t="s">
        <v>26</v>
      </c>
      <c r="S12" s="6">
        <f t="shared" ca="1" si="0"/>
        <v>1242380</v>
      </c>
    </row>
    <row r="13" spans="1:19" x14ac:dyDescent="0.45">
      <c r="A13">
        <v>0</v>
      </c>
      <c r="B13">
        <v>0</v>
      </c>
      <c r="C13" t="s">
        <v>147</v>
      </c>
      <c r="D13" t="s">
        <v>32</v>
      </c>
      <c r="E13" t="s">
        <v>33</v>
      </c>
      <c r="F13">
        <v>15</v>
      </c>
      <c r="G13">
        <v>7</v>
      </c>
      <c r="H13">
        <v>1</v>
      </c>
      <c r="I13">
        <v>1</v>
      </c>
      <c r="J13">
        <v>0</v>
      </c>
      <c r="K13">
        <v>1.1000000000000001</v>
      </c>
      <c r="L13" s="1">
        <v>181853</v>
      </c>
      <c r="M13">
        <v>0.56999999999999995</v>
      </c>
      <c r="N13" t="s">
        <v>174</v>
      </c>
      <c r="R13" t="s">
        <v>149</v>
      </c>
      <c r="S13" s="6">
        <f>B2</f>
        <v>299230.5</v>
      </c>
    </row>
    <row r="14" spans="1:19" x14ac:dyDescent="0.45">
      <c r="A14">
        <v>0</v>
      </c>
      <c r="B14">
        <v>1</v>
      </c>
      <c r="C14" t="s">
        <v>132</v>
      </c>
      <c r="D14" t="s">
        <v>37</v>
      </c>
      <c r="E14" t="s">
        <v>175</v>
      </c>
      <c r="F14">
        <v>36</v>
      </c>
      <c r="G14">
        <v>4</v>
      </c>
      <c r="H14">
        <v>0</v>
      </c>
      <c r="I14">
        <v>0</v>
      </c>
      <c r="J14">
        <v>0</v>
      </c>
      <c r="K14">
        <v>0.6</v>
      </c>
      <c r="L14" s="1">
        <v>153265</v>
      </c>
      <c r="M14">
        <v>0.48</v>
      </c>
      <c r="N14">
        <v>0</v>
      </c>
    </row>
    <row r="15" spans="1:19" x14ac:dyDescent="0.45">
      <c r="A15">
        <v>0</v>
      </c>
      <c r="B15">
        <v>0</v>
      </c>
      <c r="C15" t="s">
        <v>147</v>
      </c>
      <c r="D15" t="s">
        <v>42</v>
      </c>
      <c r="E15" t="s">
        <v>43</v>
      </c>
      <c r="F15">
        <v>18</v>
      </c>
      <c r="G15">
        <v>1</v>
      </c>
      <c r="H15">
        <v>1</v>
      </c>
      <c r="I15">
        <v>0</v>
      </c>
      <c r="J15">
        <v>1</v>
      </c>
      <c r="K15">
        <v>0.2</v>
      </c>
      <c r="L15" s="1">
        <v>134115</v>
      </c>
      <c r="M15">
        <v>0.42</v>
      </c>
      <c r="N15">
        <v>0.2</v>
      </c>
    </row>
    <row r="16" spans="1:19" x14ac:dyDescent="0.45">
      <c r="A16">
        <v>0</v>
      </c>
      <c r="B16">
        <v>0</v>
      </c>
      <c r="C16" t="s">
        <v>147</v>
      </c>
      <c r="D16" t="s">
        <v>176</v>
      </c>
      <c r="E16" t="s">
        <v>50</v>
      </c>
      <c r="F16">
        <v>15</v>
      </c>
      <c r="G16">
        <v>2</v>
      </c>
      <c r="H16">
        <v>2</v>
      </c>
      <c r="I16">
        <v>0</v>
      </c>
      <c r="J16">
        <v>2</v>
      </c>
      <c r="K16">
        <v>0.3</v>
      </c>
      <c r="L16" s="1">
        <v>118737</v>
      </c>
      <c r="M16">
        <v>0.37</v>
      </c>
      <c r="N16">
        <v>0.1</v>
      </c>
    </row>
    <row r="17" spans="1:14" x14ac:dyDescent="0.45">
      <c r="A17">
        <v>0</v>
      </c>
      <c r="B17">
        <v>0</v>
      </c>
      <c r="C17" t="s">
        <v>147</v>
      </c>
      <c r="D17" t="s">
        <v>177</v>
      </c>
      <c r="E17" t="s">
        <v>178</v>
      </c>
      <c r="F17">
        <v>16</v>
      </c>
      <c r="L17" s="1">
        <v>93123</v>
      </c>
      <c r="M17">
        <v>0.28999999999999998</v>
      </c>
      <c r="N17">
        <v>0</v>
      </c>
    </row>
    <row r="18" spans="1:14" x14ac:dyDescent="0.45">
      <c r="A18">
        <v>0.5</v>
      </c>
      <c r="B18">
        <v>0.5</v>
      </c>
      <c r="C18" t="s">
        <v>132</v>
      </c>
      <c r="D18" t="s">
        <v>179</v>
      </c>
      <c r="E18" t="s">
        <v>180</v>
      </c>
      <c r="F18">
        <v>28</v>
      </c>
      <c r="L18" s="1">
        <v>29201</v>
      </c>
      <c r="M18">
        <v>0.09</v>
      </c>
      <c r="N18">
        <v>0</v>
      </c>
    </row>
    <row r="19" spans="1:14" x14ac:dyDescent="0.45">
      <c r="A19">
        <v>0</v>
      </c>
      <c r="B19">
        <v>1</v>
      </c>
      <c r="C19" t="s">
        <v>132</v>
      </c>
      <c r="D19" t="s">
        <v>47</v>
      </c>
      <c r="E19" t="s">
        <v>48</v>
      </c>
      <c r="F19">
        <v>22</v>
      </c>
      <c r="L19" s="1">
        <v>28122</v>
      </c>
      <c r="M19">
        <v>0.09</v>
      </c>
    </row>
    <row r="20" spans="1:14" x14ac:dyDescent="0.45">
      <c r="A20">
        <v>0</v>
      </c>
      <c r="B20">
        <v>0</v>
      </c>
      <c r="C20" s="11" t="s">
        <v>8</v>
      </c>
      <c r="D20" t="s">
        <v>181</v>
      </c>
      <c r="E20" t="s">
        <v>57</v>
      </c>
      <c r="F20">
        <v>1</v>
      </c>
      <c r="G20">
        <v>1</v>
      </c>
      <c r="H20">
        <v>1</v>
      </c>
      <c r="I20">
        <v>1</v>
      </c>
      <c r="J20">
        <v>0</v>
      </c>
      <c r="K20">
        <v>0.2</v>
      </c>
      <c r="L20" s="1">
        <v>26831</v>
      </c>
      <c r="M20">
        <v>0.08</v>
      </c>
      <c r="N20">
        <v>0</v>
      </c>
    </row>
    <row r="21" spans="1:14" x14ac:dyDescent="0.45">
      <c r="A21">
        <v>1</v>
      </c>
      <c r="B21">
        <v>0</v>
      </c>
      <c r="C21" t="s">
        <v>132</v>
      </c>
      <c r="D21" t="s">
        <v>182</v>
      </c>
      <c r="E21" t="s">
        <v>183</v>
      </c>
      <c r="F21">
        <v>44</v>
      </c>
      <c r="L21" s="1">
        <v>22817</v>
      </c>
      <c r="M21">
        <v>7.0000000000000007E-2</v>
      </c>
      <c r="N21" t="s">
        <v>184</v>
      </c>
    </row>
    <row r="22" spans="1:14" x14ac:dyDescent="0.45">
      <c r="A22">
        <v>0</v>
      </c>
      <c r="B22">
        <v>0</v>
      </c>
      <c r="C22" t="s">
        <v>132</v>
      </c>
      <c r="D22" t="s">
        <v>185</v>
      </c>
      <c r="E22" t="s">
        <v>83</v>
      </c>
      <c r="F22">
        <v>1</v>
      </c>
      <c r="L22" s="1">
        <v>13498</v>
      </c>
      <c r="M22">
        <v>0.04</v>
      </c>
      <c r="N22">
        <v>0</v>
      </c>
    </row>
    <row r="23" spans="1:14" x14ac:dyDescent="0.45">
      <c r="A23">
        <v>0</v>
      </c>
      <c r="B23">
        <v>0</v>
      </c>
      <c r="C23" t="s">
        <v>132</v>
      </c>
      <c r="D23" t="s">
        <v>186</v>
      </c>
      <c r="E23" t="s">
        <v>81</v>
      </c>
      <c r="F23">
        <v>19</v>
      </c>
      <c r="L23" s="1">
        <v>10876</v>
      </c>
      <c r="M23">
        <v>0.03</v>
      </c>
      <c r="N23">
        <v>0</v>
      </c>
    </row>
    <row r="24" spans="1:14" x14ac:dyDescent="0.45">
      <c r="A24">
        <v>0</v>
      </c>
      <c r="B24">
        <v>0</v>
      </c>
      <c r="C24" t="s">
        <v>132</v>
      </c>
      <c r="D24" t="s">
        <v>187</v>
      </c>
      <c r="E24" t="s">
        <v>188</v>
      </c>
      <c r="F24">
        <v>3</v>
      </c>
      <c r="L24" s="1">
        <v>10006</v>
      </c>
      <c r="M24">
        <v>0.03</v>
      </c>
    </row>
    <row r="25" spans="1:14" x14ac:dyDescent="0.45">
      <c r="A25">
        <v>0</v>
      </c>
      <c r="B25">
        <v>0</v>
      </c>
      <c r="C25" t="s">
        <v>132</v>
      </c>
      <c r="D25" t="s">
        <v>72</v>
      </c>
      <c r="E25" t="s">
        <v>73</v>
      </c>
      <c r="F25">
        <v>7</v>
      </c>
      <c r="L25" s="1">
        <v>9814</v>
      </c>
      <c r="M25">
        <v>0.03</v>
      </c>
    </row>
    <row r="26" spans="1:14" x14ac:dyDescent="0.45">
      <c r="A26">
        <v>0</v>
      </c>
      <c r="B26">
        <v>0</v>
      </c>
      <c r="C26" t="s">
        <v>132</v>
      </c>
      <c r="D26" t="s">
        <v>84</v>
      </c>
      <c r="E26" t="s">
        <v>85</v>
      </c>
      <c r="F26">
        <v>24</v>
      </c>
      <c r="L26" s="1">
        <v>9739</v>
      </c>
      <c r="M26">
        <v>0.03</v>
      </c>
      <c r="N26">
        <v>0</v>
      </c>
    </row>
    <row r="27" spans="1:14" x14ac:dyDescent="0.45">
      <c r="A27">
        <v>0</v>
      </c>
      <c r="B27">
        <v>0</v>
      </c>
      <c r="C27" t="s">
        <v>132</v>
      </c>
      <c r="D27" t="s">
        <v>70</v>
      </c>
      <c r="E27" t="s">
        <v>189</v>
      </c>
      <c r="F27">
        <v>2</v>
      </c>
      <c r="L27" s="1">
        <v>7526</v>
      </c>
      <c r="M27">
        <v>0.02</v>
      </c>
    </row>
    <row r="28" spans="1:14" x14ac:dyDescent="0.45">
      <c r="A28">
        <v>0</v>
      </c>
      <c r="B28">
        <v>0</v>
      </c>
      <c r="C28" t="s">
        <v>132</v>
      </c>
      <c r="D28" t="s">
        <v>190</v>
      </c>
      <c r="E28" t="s">
        <v>191</v>
      </c>
      <c r="F28">
        <v>1</v>
      </c>
      <c r="L28" s="1">
        <v>7285</v>
      </c>
      <c r="M28">
        <v>0.02</v>
      </c>
    </row>
    <row r="29" spans="1:14" x14ac:dyDescent="0.45">
      <c r="A29">
        <v>0</v>
      </c>
      <c r="B29">
        <v>0</v>
      </c>
      <c r="C29" t="s">
        <v>132</v>
      </c>
      <c r="D29" t="s">
        <v>192</v>
      </c>
      <c r="E29" t="s">
        <v>87</v>
      </c>
      <c r="F29">
        <v>29</v>
      </c>
      <c r="L29" s="1">
        <v>6486</v>
      </c>
      <c r="M29">
        <v>0.02</v>
      </c>
      <c r="N29">
        <v>0</v>
      </c>
    </row>
    <row r="30" spans="1:14" x14ac:dyDescent="0.45">
      <c r="A30">
        <v>0</v>
      </c>
      <c r="B30">
        <v>0</v>
      </c>
      <c r="C30" t="s">
        <v>132</v>
      </c>
      <c r="D30" t="s">
        <v>193</v>
      </c>
      <c r="E30" t="s">
        <v>194</v>
      </c>
      <c r="F30">
        <v>1</v>
      </c>
      <c r="L30" s="1">
        <v>6432</v>
      </c>
      <c r="M30">
        <v>0.02</v>
      </c>
    </row>
    <row r="31" spans="1:14" x14ac:dyDescent="0.45">
      <c r="A31">
        <v>0</v>
      </c>
      <c r="B31">
        <v>0</v>
      </c>
      <c r="C31" t="s">
        <v>132</v>
      </c>
      <c r="D31" t="s">
        <v>195</v>
      </c>
      <c r="E31" t="s">
        <v>55</v>
      </c>
      <c r="F31">
        <v>20</v>
      </c>
      <c r="L31" s="1">
        <v>3295</v>
      </c>
      <c r="M31">
        <v>0.01</v>
      </c>
      <c r="N31">
        <v>0</v>
      </c>
    </row>
    <row r="32" spans="1:14" x14ac:dyDescent="0.45">
      <c r="A32">
        <v>0</v>
      </c>
      <c r="B32">
        <v>0</v>
      </c>
      <c r="C32" t="s">
        <v>132</v>
      </c>
      <c r="D32" t="s">
        <v>196</v>
      </c>
      <c r="E32" t="s">
        <v>128</v>
      </c>
      <c r="F32">
        <v>6</v>
      </c>
      <c r="L32" s="1">
        <v>3086</v>
      </c>
      <c r="M32">
        <v>0.01</v>
      </c>
      <c r="N32">
        <v>0</v>
      </c>
    </row>
    <row r="33" spans="1:14" x14ac:dyDescent="0.45">
      <c r="A33">
        <v>0</v>
      </c>
      <c r="B33">
        <v>0</v>
      </c>
      <c r="C33" t="s">
        <v>132</v>
      </c>
      <c r="D33" t="s">
        <v>197</v>
      </c>
      <c r="E33" t="s">
        <v>198</v>
      </c>
      <c r="F33">
        <v>2</v>
      </c>
      <c r="L33" s="1">
        <v>2637</v>
      </c>
      <c r="M33">
        <v>0.01</v>
      </c>
    </row>
    <row r="34" spans="1:14" x14ac:dyDescent="0.45">
      <c r="A34">
        <v>0</v>
      </c>
      <c r="B34">
        <v>0</v>
      </c>
      <c r="C34" t="s">
        <v>132</v>
      </c>
      <c r="D34" t="s">
        <v>199</v>
      </c>
      <c r="E34" t="s">
        <v>61</v>
      </c>
      <c r="F34">
        <v>1</v>
      </c>
      <c r="L34" s="1">
        <v>1999</v>
      </c>
      <c r="M34">
        <v>0.01</v>
      </c>
    </row>
    <row r="35" spans="1:14" x14ac:dyDescent="0.45">
      <c r="A35">
        <v>0</v>
      </c>
      <c r="B35">
        <v>0</v>
      </c>
      <c r="C35" t="s">
        <v>132</v>
      </c>
      <c r="D35" t="s">
        <v>200</v>
      </c>
      <c r="E35" t="s">
        <v>201</v>
      </c>
      <c r="F35">
        <v>3</v>
      </c>
      <c r="L35" s="1">
        <v>1996</v>
      </c>
      <c r="M35">
        <v>0.01</v>
      </c>
    </row>
    <row r="36" spans="1:14" x14ac:dyDescent="0.45">
      <c r="A36">
        <v>0</v>
      </c>
      <c r="B36">
        <v>0</v>
      </c>
      <c r="C36" t="s">
        <v>132</v>
      </c>
      <c r="D36" t="s">
        <v>202</v>
      </c>
      <c r="E36" t="s">
        <v>91</v>
      </c>
      <c r="F36">
        <v>5</v>
      </c>
      <c r="L36" s="1">
        <v>1987</v>
      </c>
      <c r="M36">
        <v>0.01</v>
      </c>
      <c r="N36">
        <v>0</v>
      </c>
    </row>
    <row r="37" spans="1:14" x14ac:dyDescent="0.45">
      <c r="A37">
        <v>0</v>
      </c>
      <c r="B37">
        <v>0</v>
      </c>
      <c r="C37" t="s">
        <v>132</v>
      </c>
      <c r="D37" t="s">
        <v>203</v>
      </c>
      <c r="E37" t="s">
        <v>204</v>
      </c>
      <c r="F37">
        <v>6</v>
      </c>
      <c r="L37" s="1">
        <v>1780</v>
      </c>
      <c r="M37">
        <v>0.01</v>
      </c>
      <c r="N37">
        <v>0</v>
      </c>
    </row>
    <row r="38" spans="1:14" x14ac:dyDescent="0.45">
      <c r="A38">
        <v>0</v>
      </c>
      <c r="B38">
        <v>0</v>
      </c>
      <c r="C38" t="s">
        <v>132</v>
      </c>
      <c r="D38" t="s">
        <v>205</v>
      </c>
      <c r="E38" t="s">
        <v>206</v>
      </c>
      <c r="F38">
        <v>1</v>
      </c>
      <c r="L38" s="1">
        <v>1660</v>
      </c>
      <c r="M38">
        <v>0.01</v>
      </c>
      <c r="N38">
        <v>0</v>
      </c>
    </row>
    <row r="39" spans="1:14" x14ac:dyDescent="0.45">
      <c r="A39">
        <v>0</v>
      </c>
      <c r="B39">
        <v>0</v>
      </c>
      <c r="C39" t="s">
        <v>132</v>
      </c>
      <c r="D39" t="s">
        <v>207</v>
      </c>
      <c r="E39" t="s">
        <v>208</v>
      </c>
      <c r="F39">
        <v>2</v>
      </c>
      <c r="L39" s="1">
        <v>1606</v>
      </c>
      <c r="M39">
        <v>0.01</v>
      </c>
    </row>
    <row r="40" spans="1:14" x14ac:dyDescent="0.45">
      <c r="A40">
        <v>0</v>
      </c>
      <c r="B40">
        <v>0</v>
      </c>
      <c r="C40" t="s">
        <v>132</v>
      </c>
      <c r="D40" t="s">
        <v>60</v>
      </c>
      <c r="E40" t="s">
        <v>209</v>
      </c>
      <c r="F40">
        <v>1</v>
      </c>
      <c r="L40" s="1">
        <v>1542</v>
      </c>
      <c r="M40">
        <v>0</v>
      </c>
    </row>
    <row r="41" spans="1:14" x14ac:dyDescent="0.45">
      <c r="A41">
        <v>0</v>
      </c>
      <c r="B41">
        <v>0</v>
      </c>
      <c r="C41" t="s">
        <v>132</v>
      </c>
      <c r="D41" t="s">
        <v>210</v>
      </c>
      <c r="E41" t="s">
        <v>211</v>
      </c>
      <c r="F41">
        <v>3</v>
      </c>
      <c r="L41" s="1">
        <v>1515</v>
      </c>
      <c r="M41">
        <v>0</v>
      </c>
    </row>
    <row r="42" spans="1:14" x14ac:dyDescent="0.45">
      <c r="A42">
        <v>0</v>
      </c>
      <c r="B42">
        <v>0</v>
      </c>
      <c r="C42" t="s">
        <v>132</v>
      </c>
      <c r="D42" t="s">
        <v>212</v>
      </c>
      <c r="E42" t="s">
        <v>213</v>
      </c>
      <c r="F42">
        <v>1</v>
      </c>
      <c r="L42" s="1">
        <v>1322</v>
      </c>
      <c r="M42">
        <v>0</v>
      </c>
    </row>
    <row r="43" spans="1:14" x14ac:dyDescent="0.45">
      <c r="A43">
        <v>0</v>
      </c>
      <c r="B43">
        <v>0</v>
      </c>
      <c r="C43" t="s">
        <v>132</v>
      </c>
      <c r="D43" t="s">
        <v>214</v>
      </c>
      <c r="E43" t="s">
        <v>215</v>
      </c>
      <c r="F43">
        <v>2</v>
      </c>
      <c r="L43" s="1">
        <v>1219</v>
      </c>
      <c r="M43">
        <v>0</v>
      </c>
    </row>
    <row r="44" spans="1:14" x14ac:dyDescent="0.45">
      <c r="A44">
        <v>0</v>
      </c>
      <c r="B44">
        <v>0</v>
      </c>
      <c r="C44" t="s">
        <v>132</v>
      </c>
      <c r="D44" t="s">
        <v>216</v>
      </c>
      <c r="E44" t="s">
        <v>217</v>
      </c>
      <c r="F44">
        <v>1</v>
      </c>
      <c r="L44" s="1">
        <v>1162</v>
      </c>
      <c r="M44">
        <v>0</v>
      </c>
    </row>
    <row r="45" spans="1:14" x14ac:dyDescent="0.45">
      <c r="A45">
        <v>0</v>
      </c>
      <c r="B45">
        <v>0</v>
      </c>
      <c r="C45" t="s">
        <v>132</v>
      </c>
      <c r="D45" t="s">
        <v>218</v>
      </c>
      <c r="E45" t="s">
        <v>219</v>
      </c>
      <c r="F45">
        <v>1</v>
      </c>
      <c r="L45" s="1">
        <v>1141</v>
      </c>
      <c r="M45">
        <v>0</v>
      </c>
    </row>
    <row r="46" spans="1:14" x14ac:dyDescent="0.45">
      <c r="A46">
        <v>0</v>
      </c>
      <c r="B46">
        <v>0</v>
      </c>
      <c r="C46" t="s">
        <v>132</v>
      </c>
      <c r="D46" t="s">
        <v>220</v>
      </c>
      <c r="E46" t="s">
        <v>221</v>
      </c>
      <c r="F46">
        <v>1</v>
      </c>
      <c r="L46" s="1">
        <v>1070</v>
      </c>
      <c r="M46">
        <v>0</v>
      </c>
    </row>
    <row r="47" spans="1:14" x14ac:dyDescent="0.45">
      <c r="A47">
        <v>0</v>
      </c>
      <c r="B47">
        <v>0</v>
      </c>
      <c r="C47" t="s">
        <v>132</v>
      </c>
      <c r="D47" t="s">
        <v>222</v>
      </c>
      <c r="E47" t="s">
        <v>223</v>
      </c>
      <c r="F47">
        <v>2</v>
      </c>
      <c r="L47">
        <v>960</v>
      </c>
      <c r="M47">
        <v>0</v>
      </c>
    </row>
    <row r="48" spans="1:14" x14ac:dyDescent="0.45">
      <c r="A48">
        <v>0</v>
      </c>
      <c r="B48">
        <v>0</v>
      </c>
      <c r="C48" t="s">
        <v>132</v>
      </c>
      <c r="D48" t="s">
        <v>224</v>
      </c>
      <c r="E48" t="s">
        <v>225</v>
      </c>
      <c r="F48">
        <v>1</v>
      </c>
      <c r="L48">
        <v>926</v>
      </c>
      <c r="M48">
        <v>0</v>
      </c>
    </row>
    <row r="49" spans="1:14" x14ac:dyDescent="0.45">
      <c r="A49">
        <v>0</v>
      </c>
      <c r="B49">
        <v>0</v>
      </c>
      <c r="C49" t="s">
        <v>132</v>
      </c>
      <c r="D49" t="s">
        <v>226</v>
      </c>
      <c r="E49" t="s">
        <v>227</v>
      </c>
      <c r="F49">
        <v>3</v>
      </c>
      <c r="L49">
        <v>728</v>
      </c>
      <c r="M49">
        <v>0</v>
      </c>
    </row>
    <row r="50" spans="1:14" x14ac:dyDescent="0.45">
      <c r="A50">
        <v>0</v>
      </c>
      <c r="B50">
        <v>0</v>
      </c>
      <c r="C50" t="s">
        <v>132</v>
      </c>
      <c r="D50" t="s">
        <v>228</v>
      </c>
      <c r="E50" t="s">
        <v>229</v>
      </c>
      <c r="F50">
        <v>2</v>
      </c>
      <c r="L50">
        <v>705</v>
      </c>
      <c r="M50">
        <v>0</v>
      </c>
      <c r="N50">
        <v>0</v>
      </c>
    </row>
    <row r="51" spans="1:14" x14ac:dyDescent="0.45">
      <c r="A51">
        <v>0</v>
      </c>
      <c r="B51">
        <v>0</v>
      </c>
      <c r="C51" t="s">
        <v>132</v>
      </c>
      <c r="D51" t="s">
        <v>230</v>
      </c>
      <c r="E51" t="s">
        <v>231</v>
      </c>
      <c r="F51">
        <v>4</v>
      </c>
      <c r="L51">
        <v>545</v>
      </c>
      <c r="M51">
        <v>0</v>
      </c>
      <c r="N51">
        <v>0</v>
      </c>
    </row>
    <row r="52" spans="1:14" x14ac:dyDescent="0.45">
      <c r="A52">
        <v>0</v>
      </c>
      <c r="B52">
        <v>0</v>
      </c>
      <c r="C52" t="s">
        <v>132</v>
      </c>
      <c r="D52" t="s">
        <v>232</v>
      </c>
      <c r="E52" t="s">
        <v>233</v>
      </c>
      <c r="F52">
        <v>5</v>
      </c>
      <c r="L52">
        <v>524</v>
      </c>
      <c r="M52">
        <v>0</v>
      </c>
      <c r="N52">
        <v>0</v>
      </c>
    </row>
    <row r="53" spans="1:14" x14ac:dyDescent="0.45">
      <c r="A53">
        <v>0</v>
      </c>
      <c r="B53">
        <v>0</v>
      </c>
      <c r="C53" t="s">
        <v>132</v>
      </c>
      <c r="D53" t="s">
        <v>234</v>
      </c>
      <c r="E53" t="s">
        <v>235</v>
      </c>
      <c r="F53">
        <v>1</v>
      </c>
      <c r="L53">
        <v>510</v>
      </c>
      <c r="M53">
        <v>0</v>
      </c>
      <c r="N53">
        <v>0</v>
      </c>
    </row>
    <row r="54" spans="1:14" x14ac:dyDescent="0.45">
      <c r="A54">
        <v>0</v>
      </c>
      <c r="B54">
        <v>0</v>
      </c>
      <c r="C54" t="s">
        <v>132</v>
      </c>
      <c r="D54" t="s">
        <v>236</v>
      </c>
      <c r="E54" t="s">
        <v>236</v>
      </c>
      <c r="F54">
        <v>40</v>
      </c>
      <c r="L54" s="1">
        <v>5697</v>
      </c>
      <c r="M54">
        <v>0.02</v>
      </c>
    </row>
    <row r="55" spans="1:14" x14ac:dyDescent="0.45">
      <c r="A55">
        <v>0.5</v>
      </c>
      <c r="B55">
        <v>0.5</v>
      </c>
      <c r="C55" t="s">
        <v>132</v>
      </c>
      <c r="D55" t="s">
        <v>237</v>
      </c>
      <c r="E55" t="s">
        <v>237</v>
      </c>
      <c r="F55">
        <v>224</v>
      </c>
      <c r="I55">
        <v>1</v>
      </c>
      <c r="J55">
        <v>1</v>
      </c>
      <c r="L55" s="1">
        <v>206486</v>
      </c>
      <c r="M55">
        <v>0.64</v>
      </c>
    </row>
    <row r="56" spans="1:14" x14ac:dyDescent="0.45">
      <c r="L56" s="1"/>
    </row>
    <row r="58" spans="1:14" x14ac:dyDescent="0.45">
      <c r="L58" s="1"/>
    </row>
  </sheetData>
  <conditionalFormatting sqref="A6:B55">
    <cfRule type="colorScale" priority="1">
      <colorScale>
        <cfvo type="min"/>
        <cfvo type="max"/>
        <color rgb="FFFCFCFF"/>
        <color rgb="FF63BE7B"/>
      </colorScale>
    </cfRule>
  </conditionalFormatting>
  <conditionalFormatting sqref="S7:S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D749F-81CA-4056-8D8C-90B5FF13AC30}">
  <dimension ref="B5:T53"/>
  <sheetViews>
    <sheetView workbookViewId="0">
      <selection activeCell="S9" sqref="S9:T19"/>
    </sheetView>
  </sheetViews>
  <sheetFormatPr defaultRowHeight="14.25" x14ac:dyDescent="0.45"/>
  <cols>
    <col min="13" max="13" width="14.9296875" customWidth="1"/>
    <col min="20" max="20" width="14" customWidth="1"/>
  </cols>
  <sheetData>
    <row r="5" spans="2:20" x14ac:dyDescent="0.45">
      <c r="B5">
        <f>SUMPRODUCT(B8:B52,$M$8:$M$52)</f>
        <v>86214.5</v>
      </c>
      <c r="C5">
        <f>SUMPRODUCT(C8:C52,$M$8:$M$52)</f>
        <v>256566.5</v>
      </c>
    </row>
    <row r="7" spans="2:20" x14ac:dyDescent="0.45">
      <c r="B7" t="s">
        <v>148</v>
      </c>
      <c r="C7" t="s">
        <v>149</v>
      </c>
      <c r="D7" t="s">
        <v>152</v>
      </c>
      <c r="E7" t="s">
        <v>152</v>
      </c>
      <c r="F7" t="s">
        <v>1</v>
      </c>
      <c r="G7" t="s">
        <v>241</v>
      </c>
      <c r="H7" t="s">
        <v>3</v>
      </c>
      <c r="I7" t="s">
        <v>154</v>
      </c>
      <c r="J7" t="s">
        <v>155</v>
      </c>
      <c r="K7" t="s">
        <v>6</v>
      </c>
      <c r="L7" t="s">
        <v>242</v>
      </c>
      <c r="M7" t="s">
        <v>3</v>
      </c>
      <c r="N7" t="s">
        <v>242</v>
      </c>
      <c r="O7" t="s">
        <v>243</v>
      </c>
      <c r="P7" t="s">
        <v>240</v>
      </c>
      <c r="Q7" t="s">
        <v>240</v>
      </c>
      <c r="R7" t="s">
        <v>240</v>
      </c>
    </row>
    <row r="8" spans="2:20" x14ac:dyDescent="0.45">
      <c r="B8">
        <v>0</v>
      </c>
      <c r="C8">
        <v>0</v>
      </c>
      <c r="D8" s="11" t="s">
        <v>15</v>
      </c>
      <c r="E8" t="s">
        <v>244</v>
      </c>
      <c r="F8" t="s">
        <v>245</v>
      </c>
      <c r="G8">
        <v>638</v>
      </c>
      <c r="H8">
        <v>317</v>
      </c>
      <c r="I8">
        <v>20</v>
      </c>
      <c r="J8">
        <v>33</v>
      </c>
      <c r="K8" t="s">
        <v>246</v>
      </c>
      <c r="L8">
        <v>48.8</v>
      </c>
      <c r="M8" s="1">
        <v>13636684</v>
      </c>
      <c r="N8">
        <v>42.3</v>
      </c>
      <c r="O8">
        <v>5.5</v>
      </c>
      <c r="P8" t="s">
        <v>240</v>
      </c>
      <c r="Q8" t="s">
        <v>240</v>
      </c>
      <c r="R8" t="s">
        <v>240</v>
      </c>
    </row>
    <row r="9" spans="2:20" x14ac:dyDescent="0.45">
      <c r="B9">
        <v>0</v>
      </c>
      <c r="C9">
        <v>0</v>
      </c>
      <c r="D9" s="11" t="s">
        <v>8</v>
      </c>
      <c r="E9" t="s">
        <v>8</v>
      </c>
      <c r="F9" t="s">
        <v>159</v>
      </c>
      <c r="G9" t="s">
        <v>160</v>
      </c>
      <c r="H9" t="s">
        <v>247</v>
      </c>
      <c r="I9" t="s">
        <v>248</v>
      </c>
      <c r="J9">
        <v>6</v>
      </c>
      <c r="K9" t="s">
        <v>249</v>
      </c>
      <c r="L9" t="s">
        <v>250</v>
      </c>
      <c r="M9" s="1">
        <v>12877918</v>
      </c>
      <c r="N9" t="s">
        <v>251</v>
      </c>
      <c r="O9" t="s">
        <v>252</v>
      </c>
      <c r="P9" t="s">
        <v>240</v>
      </c>
      <c r="Q9" t="s">
        <v>240</v>
      </c>
      <c r="R9" t="s">
        <v>240</v>
      </c>
      <c r="S9" t="s">
        <v>148</v>
      </c>
      <c r="T9">
        <f>B5</f>
        <v>86214.5</v>
      </c>
    </row>
    <row r="10" spans="2:20" x14ac:dyDescent="0.45">
      <c r="B10">
        <v>0</v>
      </c>
      <c r="C10">
        <v>0</v>
      </c>
      <c r="D10" s="11" t="s">
        <v>20</v>
      </c>
      <c r="E10" t="s">
        <v>20</v>
      </c>
      <c r="F10" t="s">
        <v>253</v>
      </c>
      <c r="G10">
        <v>629</v>
      </c>
      <c r="H10">
        <v>12</v>
      </c>
      <c r="I10">
        <v>8</v>
      </c>
      <c r="J10">
        <v>4</v>
      </c>
      <c r="K10">
        <v>4</v>
      </c>
      <c r="L10">
        <v>1.8</v>
      </c>
      <c r="M10" s="1">
        <v>2371861</v>
      </c>
      <c r="N10">
        <v>7.4</v>
      </c>
      <c r="O10" t="s">
        <v>254</v>
      </c>
      <c r="P10" t="s">
        <v>240</v>
      </c>
      <c r="Q10" t="s">
        <v>240</v>
      </c>
      <c r="R10" t="s">
        <v>240</v>
      </c>
      <c r="S10" t="s">
        <v>238</v>
      </c>
      <c r="T10" s="6">
        <f>SUMIF($D$8:$D$52,S10,$M$8:$M$52)</f>
        <v>594068</v>
      </c>
    </row>
    <row r="11" spans="2:20" x14ac:dyDescent="0.45">
      <c r="B11">
        <v>0</v>
      </c>
      <c r="C11">
        <v>0</v>
      </c>
      <c r="D11" s="11" t="s">
        <v>142</v>
      </c>
      <c r="E11" t="s">
        <v>142</v>
      </c>
      <c r="F11" t="s">
        <v>168</v>
      </c>
      <c r="G11">
        <v>59</v>
      </c>
      <c r="H11">
        <v>35</v>
      </c>
      <c r="I11">
        <v>0</v>
      </c>
      <c r="J11">
        <v>21</v>
      </c>
      <c r="K11" t="s">
        <v>255</v>
      </c>
      <c r="L11">
        <v>5.4</v>
      </c>
      <c r="M11" s="1">
        <v>977568</v>
      </c>
      <c r="N11">
        <v>3</v>
      </c>
      <c r="O11" t="s">
        <v>256</v>
      </c>
      <c r="P11" t="s">
        <v>240</v>
      </c>
      <c r="Q11" t="s">
        <v>240</v>
      </c>
      <c r="R11" t="s">
        <v>240</v>
      </c>
      <c r="S11" t="s">
        <v>15</v>
      </c>
      <c r="T11" s="6">
        <f t="shared" ref="T11:T15" si="0">SUMIF($D$8:$D$52,S11,$M$8:$M$52)</f>
        <v>13670983</v>
      </c>
    </row>
    <row r="12" spans="2:20" x14ac:dyDescent="0.45">
      <c r="B12">
        <v>0</v>
      </c>
      <c r="C12">
        <v>0</v>
      </c>
      <c r="D12" s="11" t="s">
        <v>238</v>
      </c>
      <c r="E12" t="s">
        <v>182</v>
      </c>
      <c r="F12" t="s">
        <v>257</v>
      </c>
      <c r="G12">
        <v>378</v>
      </c>
      <c r="H12">
        <v>0</v>
      </c>
      <c r="I12">
        <v>0</v>
      </c>
      <c r="J12">
        <v>1</v>
      </c>
      <c r="K12" t="s">
        <v>258</v>
      </c>
      <c r="L12">
        <v>0</v>
      </c>
      <c r="M12" s="1">
        <v>594068</v>
      </c>
      <c r="N12">
        <v>1.8</v>
      </c>
      <c r="O12" t="s">
        <v>259</v>
      </c>
      <c r="P12" t="s">
        <v>240</v>
      </c>
      <c r="Q12" t="s">
        <v>240</v>
      </c>
      <c r="R12" t="s">
        <v>240</v>
      </c>
      <c r="S12" t="s">
        <v>20</v>
      </c>
      <c r="T12" s="6">
        <f t="shared" si="0"/>
        <v>2371861</v>
      </c>
    </row>
    <row r="13" spans="2:20" x14ac:dyDescent="0.45">
      <c r="B13">
        <v>0</v>
      </c>
      <c r="C13">
        <v>0</v>
      </c>
      <c r="D13" s="11" t="s">
        <v>23</v>
      </c>
      <c r="E13" t="s">
        <v>23</v>
      </c>
      <c r="F13" t="s">
        <v>260</v>
      </c>
      <c r="G13">
        <v>457</v>
      </c>
      <c r="H13">
        <v>1</v>
      </c>
      <c r="I13">
        <v>0</v>
      </c>
      <c r="J13">
        <v>0</v>
      </c>
      <c r="K13">
        <v>0</v>
      </c>
      <c r="L13">
        <v>0.2</v>
      </c>
      <c r="M13" s="1">
        <v>512327</v>
      </c>
      <c r="N13">
        <v>1.6</v>
      </c>
      <c r="O13" t="s">
        <v>261</v>
      </c>
      <c r="P13" t="s">
        <v>240</v>
      </c>
      <c r="Q13" t="s">
        <v>240</v>
      </c>
      <c r="R13" t="s">
        <v>240</v>
      </c>
      <c r="S13" t="s">
        <v>8</v>
      </c>
      <c r="T13" s="6">
        <f t="shared" si="0"/>
        <v>12877918</v>
      </c>
    </row>
    <row r="14" spans="2:20" x14ac:dyDescent="0.45">
      <c r="B14">
        <v>0</v>
      </c>
      <c r="C14">
        <v>0</v>
      </c>
      <c r="D14" t="s">
        <v>147</v>
      </c>
      <c r="E14" t="s">
        <v>171</v>
      </c>
      <c r="F14" t="s">
        <v>172</v>
      </c>
      <c r="G14">
        <v>17</v>
      </c>
      <c r="H14">
        <v>10</v>
      </c>
      <c r="I14">
        <v>2</v>
      </c>
      <c r="J14">
        <v>0</v>
      </c>
      <c r="K14">
        <v>2</v>
      </c>
      <c r="L14">
        <v>1.5</v>
      </c>
      <c r="M14" s="1">
        <v>292316</v>
      </c>
      <c r="N14">
        <v>0.9</v>
      </c>
      <c r="O14">
        <v>0.3</v>
      </c>
      <c r="P14" t="s">
        <v>240</v>
      </c>
      <c r="Q14" t="s">
        <v>240</v>
      </c>
      <c r="R14" t="s">
        <v>240</v>
      </c>
      <c r="S14" t="s">
        <v>23</v>
      </c>
      <c r="T14" s="6">
        <f t="shared" si="0"/>
        <v>512327</v>
      </c>
    </row>
    <row r="15" spans="2:20" x14ac:dyDescent="0.45">
      <c r="B15">
        <v>0</v>
      </c>
      <c r="C15">
        <v>0</v>
      </c>
      <c r="D15" t="s">
        <v>147</v>
      </c>
      <c r="E15" t="s">
        <v>32</v>
      </c>
      <c r="F15" t="s">
        <v>262</v>
      </c>
      <c r="G15">
        <v>18</v>
      </c>
      <c r="H15">
        <v>7</v>
      </c>
      <c r="I15">
        <v>3</v>
      </c>
      <c r="J15">
        <v>0</v>
      </c>
      <c r="K15">
        <v>3</v>
      </c>
      <c r="L15">
        <v>1.1000000000000001</v>
      </c>
      <c r="M15" s="1">
        <v>238915</v>
      </c>
      <c r="N15">
        <v>0.7</v>
      </c>
      <c r="O15">
        <v>0.1</v>
      </c>
      <c r="P15" t="s">
        <v>240</v>
      </c>
      <c r="Q15" t="s">
        <v>240</v>
      </c>
      <c r="R15" t="s">
        <v>240</v>
      </c>
      <c r="S15" t="s">
        <v>142</v>
      </c>
      <c r="T15" s="6">
        <f t="shared" si="0"/>
        <v>977568</v>
      </c>
    </row>
    <row r="16" spans="2:20" x14ac:dyDescent="0.45">
      <c r="B16">
        <v>0</v>
      </c>
      <c r="C16">
        <v>1</v>
      </c>
      <c r="D16" t="s">
        <v>132</v>
      </c>
      <c r="E16" t="s">
        <v>37</v>
      </c>
      <c r="F16" t="s">
        <v>263</v>
      </c>
      <c r="G16">
        <v>40</v>
      </c>
      <c r="H16">
        <v>4</v>
      </c>
      <c r="I16">
        <v>1</v>
      </c>
      <c r="J16">
        <v>0</v>
      </c>
      <c r="K16">
        <v>1</v>
      </c>
      <c r="L16">
        <v>0.6</v>
      </c>
      <c r="M16" s="1">
        <v>164466</v>
      </c>
      <c r="N16">
        <v>0.5</v>
      </c>
      <c r="O16" t="s">
        <v>173</v>
      </c>
      <c r="P16" t="s">
        <v>240</v>
      </c>
      <c r="Q16" t="s">
        <v>240</v>
      </c>
      <c r="R16" t="s">
        <v>240</v>
      </c>
      <c r="S16" t="s">
        <v>149</v>
      </c>
      <c r="T16" s="6">
        <f>C5</f>
        <v>256566.5</v>
      </c>
    </row>
    <row r="17" spans="2:20" x14ac:dyDescent="0.45">
      <c r="B17">
        <v>0.5</v>
      </c>
      <c r="C17">
        <v>0.5</v>
      </c>
      <c r="D17" t="s">
        <v>132</v>
      </c>
      <c r="E17" t="s">
        <v>264</v>
      </c>
      <c r="G17">
        <v>187</v>
      </c>
      <c r="H17">
        <v>1</v>
      </c>
      <c r="I17">
        <v>0</v>
      </c>
      <c r="J17">
        <v>0</v>
      </c>
      <c r="K17">
        <v>0</v>
      </c>
      <c r="L17">
        <v>0.2</v>
      </c>
      <c r="M17" s="1">
        <v>151471</v>
      </c>
      <c r="N17">
        <v>0.5</v>
      </c>
      <c r="O17">
        <v>0.2</v>
      </c>
      <c r="P17" t="s">
        <v>240</v>
      </c>
      <c r="Q17" t="s">
        <v>240</v>
      </c>
      <c r="R17" t="s">
        <v>240</v>
      </c>
    </row>
    <row r="18" spans="2:20" x14ac:dyDescent="0.45">
      <c r="B18">
        <v>0</v>
      </c>
      <c r="C18">
        <v>0</v>
      </c>
      <c r="D18" t="s">
        <v>147</v>
      </c>
      <c r="E18" t="s">
        <v>176</v>
      </c>
      <c r="F18" t="s">
        <v>50</v>
      </c>
      <c r="G18">
        <v>18</v>
      </c>
      <c r="H18">
        <v>0</v>
      </c>
      <c r="I18">
        <v>0</v>
      </c>
      <c r="J18">
        <v>3</v>
      </c>
      <c r="K18" t="s">
        <v>265</v>
      </c>
      <c r="L18">
        <v>0</v>
      </c>
      <c r="M18" s="1">
        <v>95419</v>
      </c>
      <c r="N18">
        <v>0.3</v>
      </c>
      <c r="O18">
        <v>0</v>
      </c>
      <c r="P18" t="s">
        <v>240</v>
      </c>
      <c r="Q18" t="s">
        <v>240</v>
      </c>
      <c r="R18" t="s">
        <v>240</v>
      </c>
      <c r="S18" t="s">
        <v>147</v>
      </c>
      <c r="T18" s="6">
        <f t="shared" ref="T18" si="1">SUMIF($D$8:$D$52,S18,$M$8:$M$52)</f>
        <v>774483</v>
      </c>
    </row>
    <row r="19" spans="2:20" x14ac:dyDescent="0.45">
      <c r="B19">
        <v>0</v>
      </c>
      <c r="C19">
        <v>0</v>
      </c>
      <c r="D19" t="s">
        <v>147</v>
      </c>
      <c r="E19" t="s">
        <v>177</v>
      </c>
      <c r="F19" t="s">
        <v>266</v>
      </c>
      <c r="G19">
        <v>14</v>
      </c>
      <c r="H19">
        <v>0</v>
      </c>
      <c r="I19">
        <v>0</v>
      </c>
      <c r="J19">
        <v>2</v>
      </c>
      <c r="K19" t="s">
        <v>267</v>
      </c>
      <c r="L19">
        <v>0</v>
      </c>
      <c r="M19" s="1">
        <v>83280</v>
      </c>
      <c r="N19">
        <v>0.3</v>
      </c>
      <c r="O19" t="s">
        <v>173</v>
      </c>
      <c r="P19" t="s">
        <v>240</v>
      </c>
      <c r="Q19" t="s">
        <v>240</v>
      </c>
      <c r="R19" t="s">
        <v>240</v>
      </c>
      <c r="T19" s="9">
        <f>SUM(M8:M52)-T18</f>
        <v>31429701</v>
      </c>
    </row>
    <row r="20" spans="2:20" x14ac:dyDescent="0.45">
      <c r="B20">
        <v>0</v>
      </c>
      <c r="C20">
        <v>0</v>
      </c>
      <c r="D20" t="s">
        <v>147</v>
      </c>
      <c r="E20" t="s">
        <v>42</v>
      </c>
      <c r="F20" t="s">
        <v>43</v>
      </c>
      <c r="G20">
        <v>18</v>
      </c>
      <c r="H20">
        <v>0</v>
      </c>
      <c r="I20">
        <v>0</v>
      </c>
      <c r="J20">
        <v>0</v>
      </c>
      <c r="K20">
        <v>0</v>
      </c>
      <c r="L20">
        <v>0</v>
      </c>
      <c r="M20" s="1">
        <v>64553</v>
      </c>
      <c r="N20">
        <v>0.2</v>
      </c>
      <c r="O20">
        <v>0</v>
      </c>
      <c r="P20" t="s">
        <v>240</v>
      </c>
      <c r="Q20" t="s">
        <v>240</v>
      </c>
      <c r="R20" t="s">
        <v>240</v>
      </c>
    </row>
    <row r="21" spans="2:20" x14ac:dyDescent="0.45">
      <c r="B21">
        <v>0</v>
      </c>
      <c r="C21">
        <v>0</v>
      </c>
      <c r="D21" s="11" t="s">
        <v>15</v>
      </c>
      <c r="E21" t="s">
        <v>181</v>
      </c>
      <c r="F21" t="s">
        <v>268</v>
      </c>
      <c r="G21">
        <v>1</v>
      </c>
      <c r="H21">
        <v>1</v>
      </c>
      <c r="I21">
        <v>0</v>
      </c>
      <c r="J21">
        <v>0</v>
      </c>
      <c r="K21">
        <v>0</v>
      </c>
      <c r="L21">
        <v>0.2</v>
      </c>
      <c r="M21" s="1">
        <v>34299</v>
      </c>
      <c r="N21">
        <v>0.1</v>
      </c>
      <c r="O21">
        <v>0</v>
      </c>
      <c r="P21" t="s">
        <v>240</v>
      </c>
      <c r="Q21" t="s">
        <v>240</v>
      </c>
      <c r="R21" t="s">
        <v>240</v>
      </c>
    </row>
    <row r="22" spans="2:20" x14ac:dyDescent="0.45">
      <c r="B22">
        <v>0.5</v>
      </c>
      <c r="C22">
        <v>0.5</v>
      </c>
      <c r="D22" t="s">
        <v>132</v>
      </c>
      <c r="E22" t="s">
        <v>179</v>
      </c>
      <c r="F22" t="s">
        <v>269</v>
      </c>
      <c r="G22">
        <v>21</v>
      </c>
      <c r="H22">
        <v>0</v>
      </c>
      <c r="I22">
        <v>0</v>
      </c>
      <c r="J22">
        <v>0</v>
      </c>
      <c r="K22">
        <v>0</v>
      </c>
      <c r="L22">
        <v>0</v>
      </c>
      <c r="M22" s="1">
        <v>20958</v>
      </c>
      <c r="N22">
        <v>0.1</v>
      </c>
      <c r="O22">
        <v>0.1</v>
      </c>
      <c r="P22" t="s">
        <v>240</v>
      </c>
      <c r="Q22" t="s">
        <v>240</v>
      </c>
      <c r="R22" t="s">
        <v>240</v>
      </c>
    </row>
    <row r="23" spans="2:20" x14ac:dyDescent="0.45">
      <c r="B23">
        <v>0</v>
      </c>
      <c r="C23">
        <v>0</v>
      </c>
      <c r="D23" t="s">
        <v>132</v>
      </c>
      <c r="E23" t="s">
        <v>270</v>
      </c>
      <c r="F23" t="s">
        <v>271</v>
      </c>
      <c r="G23">
        <v>5</v>
      </c>
      <c r="H23">
        <v>0</v>
      </c>
      <c r="I23">
        <v>0</v>
      </c>
      <c r="J23">
        <v>0</v>
      </c>
      <c r="K23">
        <v>0</v>
      </c>
      <c r="L23">
        <v>0</v>
      </c>
      <c r="M23" s="1">
        <v>16119</v>
      </c>
      <c r="N23">
        <v>0.1</v>
      </c>
      <c r="O23" t="s">
        <v>173</v>
      </c>
      <c r="P23" t="s">
        <v>240</v>
      </c>
      <c r="Q23" t="s">
        <v>240</v>
      </c>
      <c r="R23" t="s">
        <v>240</v>
      </c>
    </row>
    <row r="24" spans="2:20" x14ac:dyDescent="0.45">
      <c r="B24">
        <v>0</v>
      </c>
      <c r="C24">
        <v>0</v>
      </c>
      <c r="D24" t="s">
        <v>132</v>
      </c>
      <c r="E24" t="s">
        <v>200</v>
      </c>
      <c r="F24" t="s">
        <v>272</v>
      </c>
      <c r="G24">
        <v>7</v>
      </c>
      <c r="H24">
        <v>0</v>
      </c>
      <c r="I24">
        <v>0</v>
      </c>
      <c r="J24">
        <v>0</v>
      </c>
      <c r="K24">
        <v>0</v>
      </c>
      <c r="L24">
        <v>0</v>
      </c>
      <c r="M24" s="1">
        <v>7452</v>
      </c>
      <c r="N24">
        <v>0</v>
      </c>
      <c r="O24">
        <v>0</v>
      </c>
      <c r="P24" t="s">
        <v>240</v>
      </c>
      <c r="Q24" t="s">
        <v>240</v>
      </c>
      <c r="R24" t="s">
        <v>240</v>
      </c>
    </row>
    <row r="25" spans="2:20" x14ac:dyDescent="0.45">
      <c r="B25">
        <v>0</v>
      </c>
      <c r="C25">
        <v>1</v>
      </c>
      <c r="D25" t="s">
        <v>132</v>
      </c>
      <c r="E25" t="s">
        <v>273</v>
      </c>
      <c r="F25" t="s">
        <v>274</v>
      </c>
      <c r="G25">
        <v>3</v>
      </c>
      <c r="H25">
        <v>0</v>
      </c>
      <c r="I25">
        <v>0</v>
      </c>
      <c r="J25">
        <v>0</v>
      </c>
      <c r="K25">
        <v>0</v>
      </c>
      <c r="L25">
        <v>0</v>
      </c>
      <c r="M25" s="1">
        <v>5886</v>
      </c>
      <c r="N25">
        <v>0</v>
      </c>
      <c r="O25" t="s">
        <v>173</v>
      </c>
      <c r="P25" t="s">
        <v>240</v>
      </c>
      <c r="Q25" t="s">
        <v>240</v>
      </c>
      <c r="R25" t="s">
        <v>240</v>
      </c>
    </row>
    <row r="26" spans="2:20" x14ac:dyDescent="0.45">
      <c r="B26">
        <v>0</v>
      </c>
      <c r="C26">
        <v>0</v>
      </c>
      <c r="D26" t="s">
        <v>132</v>
      </c>
      <c r="E26" t="s">
        <v>192</v>
      </c>
      <c r="F26" t="s">
        <v>87</v>
      </c>
      <c r="G26">
        <v>31</v>
      </c>
      <c r="H26">
        <v>0</v>
      </c>
      <c r="I26">
        <v>0</v>
      </c>
      <c r="J26">
        <v>0</v>
      </c>
      <c r="K26">
        <v>0</v>
      </c>
      <c r="L26">
        <v>0</v>
      </c>
      <c r="M26" s="1">
        <v>5869</v>
      </c>
      <c r="N26">
        <v>0</v>
      </c>
      <c r="O26">
        <v>0</v>
      </c>
      <c r="P26" t="s">
        <v>240</v>
      </c>
      <c r="Q26" t="s">
        <v>240</v>
      </c>
      <c r="R26" t="s">
        <v>240</v>
      </c>
    </row>
    <row r="27" spans="2:20" x14ac:dyDescent="0.45">
      <c r="B27">
        <v>0</v>
      </c>
      <c r="C27">
        <v>0</v>
      </c>
      <c r="D27" t="s">
        <v>132</v>
      </c>
      <c r="E27" t="s">
        <v>70</v>
      </c>
      <c r="F27" t="s">
        <v>275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 s="1">
        <v>5509</v>
      </c>
      <c r="N27">
        <v>0</v>
      </c>
      <c r="O27">
        <v>0</v>
      </c>
      <c r="P27" t="s">
        <v>240</v>
      </c>
      <c r="Q27" t="s">
        <v>240</v>
      </c>
      <c r="R27" t="s">
        <v>240</v>
      </c>
    </row>
    <row r="28" spans="2:20" x14ac:dyDescent="0.45">
      <c r="B28">
        <v>0</v>
      </c>
      <c r="C28">
        <v>0</v>
      </c>
      <c r="D28" t="s">
        <v>132</v>
      </c>
      <c r="E28" t="s">
        <v>82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 s="1">
        <v>4612</v>
      </c>
      <c r="N28">
        <v>0</v>
      </c>
      <c r="O28">
        <v>0</v>
      </c>
      <c r="P28" t="s">
        <v>240</v>
      </c>
      <c r="Q28" t="s">
        <v>240</v>
      </c>
      <c r="R28" t="s">
        <v>240</v>
      </c>
    </row>
    <row r="29" spans="2:20" x14ac:dyDescent="0.45">
      <c r="B29">
        <v>0</v>
      </c>
      <c r="C29">
        <v>0</v>
      </c>
      <c r="D29" t="s">
        <v>132</v>
      </c>
      <c r="E29" t="s">
        <v>234</v>
      </c>
      <c r="F29" t="s">
        <v>235</v>
      </c>
      <c r="G29">
        <v>10</v>
      </c>
      <c r="H29">
        <v>0</v>
      </c>
      <c r="I29">
        <v>0</v>
      </c>
      <c r="J29">
        <v>0</v>
      </c>
      <c r="K29">
        <v>0</v>
      </c>
      <c r="L29">
        <v>0</v>
      </c>
      <c r="M29" s="1">
        <v>4580</v>
      </c>
      <c r="N29">
        <v>0</v>
      </c>
      <c r="O29">
        <v>0</v>
      </c>
      <c r="P29" t="s">
        <v>240</v>
      </c>
      <c r="Q29" t="s">
        <v>240</v>
      </c>
      <c r="R29" t="s">
        <v>240</v>
      </c>
    </row>
    <row r="30" spans="2:20" x14ac:dyDescent="0.45">
      <c r="B30">
        <v>0</v>
      </c>
      <c r="C30">
        <v>0</v>
      </c>
      <c r="D30" t="s">
        <v>132</v>
      </c>
      <c r="E30" t="s">
        <v>84</v>
      </c>
      <c r="F30" t="s">
        <v>276</v>
      </c>
      <c r="G30">
        <v>12</v>
      </c>
      <c r="H30">
        <v>0</v>
      </c>
      <c r="I30">
        <v>0</v>
      </c>
      <c r="J30">
        <v>0</v>
      </c>
      <c r="K30">
        <v>0</v>
      </c>
      <c r="L30">
        <v>0</v>
      </c>
      <c r="M30" s="1">
        <v>3890</v>
      </c>
      <c r="N30">
        <v>0</v>
      </c>
      <c r="O30">
        <v>0</v>
      </c>
      <c r="P30" t="s">
        <v>240</v>
      </c>
      <c r="Q30" t="s">
        <v>240</v>
      </c>
      <c r="R30" t="s">
        <v>240</v>
      </c>
    </row>
    <row r="31" spans="2:20" x14ac:dyDescent="0.45">
      <c r="B31">
        <v>0</v>
      </c>
      <c r="C31">
        <v>0</v>
      </c>
      <c r="D31" t="s">
        <v>132</v>
      </c>
      <c r="E31" t="s">
        <v>186</v>
      </c>
      <c r="F31" t="s">
        <v>81</v>
      </c>
      <c r="G31">
        <v>4</v>
      </c>
      <c r="H31">
        <v>0</v>
      </c>
      <c r="I31">
        <v>0</v>
      </c>
      <c r="J31">
        <v>0</v>
      </c>
      <c r="K31">
        <v>0</v>
      </c>
      <c r="L31">
        <v>0</v>
      </c>
      <c r="M31" s="1">
        <v>3672</v>
      </c>
      <c r="N31">
        <v>0</v>
      </c>
      <c r="O31">
        <v>0</v>
      </c>
      <c r="P31" t="s">
        <v>240</v>
      </c>
      <c r="Q31" t="s">
        <v>240</v>
      </c>
      <c r="R31" t="s">
        <v>240</v>
      </c>
    </row>
    <row r="32" spans="2:20" x14ac:dyDescent="0.45">
      <c r="B32">
        <v>0</v>
      </c>
      <c r="C32">
        <v>0</v>
      </c>
      <c r="D32" t="s">
        <v>132</v>
      </c>
      <c r="E32" t="s">
        <v>277</v>
      </c>
      <c r="F32" t="s">
        <v>278</v>
      </c>
      <c r="G32">
        <v>7</v>
      </c>
      <c r="H32">
        <v>0</v>
      </c>
      <c r="I32">
        <v>0</v>
      </c>
      <c r="J32">
        <v>0</v>
      </c>
      <c r="K32">
        <v>0</v>
      </c>
      <c r="L32">
        <v>0</v>
      </c>
      <c r="M32" s="1">
        <v>3580</v>
      </c>
      <c r="N32">
        <v>0</v>
      </c>
      <c r="O32">
        <v>0</v>
      </c>
      <c r="P32" t="s">
        <v>240</v>
      </c>
      <c r="Q32" t="s">
        <v>240</v>
      </c>
      <c r="R32" t="s">
        <v>240</v>
      </c>
    </row>
    <row r="33" spans="2:18" x14ac:dyDescent="0.45">
      <c r="B33">
        <v>0</v>
      </c>
      <c r="C33">
        <v>0</v>
      </c>
      <c r="D33" t="s">
        <v>132</v>
      </c>
      <c r="E33" t="s">
        <v>279</v>
      </c>
      <c r="F33" t="s">
        <v>52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 s="1">
        <v>3282</v>
      </c>
      <c r="N33">
        <v>0</v>
      </c>
      <c r="O33" t="s">
        <v>173</v>
      </c>
      <c r="P33" t="s">
        <v>240</v>
      </c>
      <c r="Q33" t="s">
        <v>240</v>
      </c>
      <c r="R33" t="s">
        <v>240</v>
      </c>
    </row>
    <row r="34" spans="2:18" x14ac:dyDescent="0.45">
      <c r="B34">
        <v>0</v>
      </c>
      <c r="C34">
        <v>0</v>
      </c>
      <c r="D34" t="s">
        <v>132</v>
      </c>
      <c r="E34" t="s">
        <v>121</v>
      </c>
      <c r="F34" t="s">
        <v>280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 s="1">
        <v>2355</v>
      </c>
      <c r="N34">
        <v>0</v>
      </c>
      <c r="O34">
        <v>0</v>
      </c>
      <c r="P34" t="s">
        <v>240</v>
      </c>
      <c r="Q34" t="s">
        <v>240</v>
      </c>
      <c r="R34" t="s">
        <v>240</v>
      </c>
    </row>
    <row r="35" spans="2:18" x14ac:dyDescent="0.45">
      <c r="B35">
        <v>0</v>
      </c>
      <c r="C35">
        <v>0</v>
      </c>
      <c r="D35" t="s">
        <v>132</v>
      </c>
      <c r="E35" t="s">
        <v>281</v>
      </c>
      <c r="F35" t="s">
        <v>282</v>
      </c>
      <c r="G35">
        <v>10</v>
      </c>
      <c r="H35">
        <v>0</v>
      </c>
      <c r="I35">
        <v>0</v>
      </c>
      <c r="J35">
        <v>0</v>
      </c>
      <c r="K35">
        <v>0</v>
      </c>
      <c r="L35">
        <v>0</v>
      </c>
      <c r="M35" s="1">
        <v>2321</v>
      </c>
      <c r="N35">
        <v>0</v>
      </c>
      <c r="O35">
        <v>0</v>
      </c>
      <c r="P35" t="s">
        <v>240</v>
      </c>
      <c r="Q35" t="s">
        <v>240</v>
      </c>
      <c r="R35" t="s">
        <v>240</v>
      </c>
    </row>
    <row r="36" spans="2:18" x14ac:dyDescent="0.45">
      <c r="B36">
        <v>0</v>
      </c>
      <c r="C36">
        <v>0</v>
      </c>
      <c r="D36" t="s">
        <v>132</v>
      </c>
      <c r="E36" t="s">
        <v>202</v>
      </c>
      <c r="F36" t="s">
        <v>91</v>
      </c>
      <c r="G36">
        <v>7</v>
      </c>
      <c r="H36">
        <v>0</v>
      </c>
      <c r="I36">
        <v>0</v>
      </c>
      <c r="J36">
        <v>0</v>
      </c>
      <c r="K36">
        <v>0</v>
      </c>
      <c r="L36">
        <v>0</v>
      </c>
      <c r="M36" s="1">
        <v>1913</v>
      </c>
      <c r="N36">
        <v>0</v>
      </c>
      <c r="O36">
        <v>0</v>
      </c>
      <c r="P36" t="s">
        <v>240</v>
      </c>
      <c r="Q36" t="s">
        <v>240</v>
      </c>
      <c r="R36" t="s">
        <v>240</v>
      </c>
    </row>
    <row r="37" spans="2:18" x14ac:dyDescent="0.45">
      <c r="B37">
        <v>0</v>
      </c>
      <c r="C37">
        <v>0</v>
      </c>
      <c r="D37" t="s">
        <v>132</v>
      </c>
      <c r="E37" t="s">
        <v>228</v>
      </c>
      <c r="F37" t="s">
        <v>229</v>
      </c>
      <c r="G37">
        <v>2</v>
      </c>
      <c r="H37">
        <v>0</v>
      </c>
      <c r="I37">
        <v>0</v>
      </c>
      <c r="J37">
        <v>0</v>
      </c>
      <c r="K37">
        <v>0</v>
      </c>
      <c r="L37">
        <v>0</v>
      </c>
      <c r="M37" s="1">
        <v>1720</v>
      </c>
      <c r="N37">
        <v>0</v>
      </c>
      <c r="O37">
        <v>0</v>
      </c>
      <c r="P37" t="s">
        <v>240</v>
      </c>
      <c r="Q37" t="s">
        <v>240</v>
      </c>
      <c r="R37" t="s">
        <v>240</v>
      </c>
    </row>
    <row r="38" spans="2:18" x14ac:dyDescent="0.45">
      <c r="B38">
        <v>0</v>
      </c>
      <c r="C38">
        <v>0</v>
      </c>
      <c r="D38" t="s">
        <v>132</v>
      </c>
      <c r="E38" t="s">
        <v>283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 s="1">
        <v>1209</v>
      </c>
      <c r="N38">
        <v>0</v>
      </c>
      <c r="O38">
        <v>0</v>
      </c>
      <c r="P38" t="s">
        <v>240</v>
      </c>
      <c r="Q38" t="s">
        <v>240</v>
      </c>
      <c r="R38" t="s">
        <v>240</v>
      </c>
    </row>
    <row r="39" spans="2:18" x14ac:dyDescent="0.45">
      <c r="B39">
        <v>0</v>
      </c>
      <c r="C39">
        <v>0</v>
      </c>
      <c r="D39" t="s">
        <v>132</v>
      </c>
      <c r="E39" t="s">
        <v>284</v>
      </c>
      <c r="F39" t="s">
        <v>285</v>
      </c>
      <c r="G39">
        <v>3</v>
      </c>
      <c r="H39">
        <v>0</v>
      </c>
      <c r="I39">
        <v>0</v>
      </c>
      <c r="J39">
        <v>0</v>
      </c>
      <c r="K39">
        <v>0</v>
      </c>
      <c r="L39">
        <v>0</v>
      </c>
      <c r="M39" s="1">
        <v>1154</v>
      </c>
      <c r="N39">
        <v>0</v>
      </c>
      <c r="O39">
        <v>0</v>
      </c>
      <c r="P39" t="s">
        <v>240</v>
      </c>
      <c r="Q39" t="s">
        <v>240</v>
      </c>
      <c r="R39" t="s">
        <v>240</v>
      </c>
    </row>
    <row r="40" spans="2:18" x14ac:dyDescent="0.45">
      <c r="B40">
        <v>0</v>
      </c>
      <c r="C40">
        <v>0</v>
      </c>
      <c r="D40" t="s">
        <v>132</v>
      </c>
      <c r="E40" t="s">
        <v>196</v>
      </c>
      <c r="F40" t="s">
        <v>128</v>
      </c>
      <c r="G40">
        <v>4</v>
      </c>
      <c r="H40">
        <v>0</v>
      </c>
      <c r="I40">
        <v>0</v>
      </c>
      <c r="J40">
        <v>0</v>
      </c>
      <c r="K40">
        <v>0</v>
      </c>
      <c r="L40">
        <v>0</v>
      </c>
      <c r="M40">
        <v>955</v>
      </c>
      <c r="N40">
        <v>0</v>
      </c>
      <c r="O40">
        <v>0</v>
      </c>
      <c r="P40" t="s">
        <v>240</v>
      </c>
      <c r="Q40" t="s">
        <v>240</v>
      </c>
      <c r="R40" t="s">
        <v>240</v>
      </c>
    </row>
    <row r="41" spans="2:18" x14ac:dyDescent="0.45">
      <c r="B41">
        <v>0</v>
      </c>
      <c r="C41">
        <v>0</v>
      </c>
      <c r="D41" t="s">
        <v>132</v>
      </c>
      <c r="E41" t="s">
        <v>226</v>
      </c>
      <c r="G41">
        <v>2</v>
      </c>
      <c r="H41">
        <v>0</v>
      </c>
      <c r="I41">
        <v>0</v>
      </c>
      <c r="J41">
        <v>0</v>
      </c>
      <c r="K41">
        <v>0</v>
      </c>
      <c r="L41">
        <v>0</v>
      </c>
      <c r="M41">
        <v>842</v>
      </c>
      <c r="N41">
        <v>0</v>
      </c>
      <c r="O41">
        <v>0</v>
      </c>
      <c r="P41" t="s">
        <v>240</v>
      </c>
      <c r="Q41" t="s">
        <v>240</v>
      </c>
      <c r="R41" t="s">
        <v>240</v>
      </c>
    </row>
    <row r="42" spans="2:18" x14ac:dyDescent="0.45">
      <c r="B42">
        <v>0</v>
      </c>
      <c r="C42">
        <v>0</v>
      </c>
      <c r="D42" t="s">
        <v>132</v>
      </c>
      <c r="E42" t="s">
        <v>286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816</v>
      </c>
      <c r="N42">
        <v>0</v>
      </c>
      <c r="O42">
        <v>0</v>
      </c>
      <c r="P42" t="s">
        <v>240</v>
      </c>
      <c r="Q42" t="s">
        <v>240</v>
      </c>
      <c r="R42" t="s">
        <v>240</v>
      </c>
    </row>
    <row r="43" spans="2:18" x14ac:dyDescent="0.45">
      <c r="B43">
        <v>0</v>
      </c>
      <c r="C43">
        <v>0</v>
      </c>
      <c r="D43" t="s">
        <v>132</v>
      </c>
      <c r="E43" t="s">
        <v>232</v>
      </c>
      <c r="F43" t="s">
        <v>287</v>
      </c>
      <c r="G43">
        <v>5</v>
      </c>
      <c r="H43">
        <v>0</v>
      </c>
      <c r="I43">
        <v>0</v>
      </c>
      <c r="J43">
        <v>0</v>
      </c>
      <c r="K43">
        <v>0</v>
      </c>
      <c r="L43">
        <v>0</v>
      </c>
      <c r="M43">
        <v>771</v>
      </c>
      <c r="N43">
        <v>0</v>
      </c>
      <c r="O43">
        <v>0</v>
      </c>
      <c r="P43" t="s">
        <v>240</v>
      </c>
      <c r="Q43" t="s">
        <v>240</v>
      </c>
      <c r="R43" t="s">
        <v>240</v>
      </c>
    </row>
    <row r="44" spans="2:18" x14ac:dyDescent="0.45">
      <c r="B44">
        <v>0</v>
      </c>
      <c r="C44">
        <v>0</v>
      </c>
      <c r="D44" t="s">
        <v>132</v>
      </c>
      <c r="E44" t="s">
        <v>288</v>
      </c>
      <c r="G44">
        <v>2</v>
      </c>
      <c r="H44">
        <v>0</v>
      </c>
      <c r="I44">
        <v>0</v>
      </c>
      <c r="J44">
        <v>0</v>
      </c>
      <c r="K44">
        <v>0</v>
      </c>
      <c r="L44">
        <v>0</v>
      </c>
      <c r="M44">
        <v>708</v>
      </c>
      <c r="N44">
        <v>0</v>
      </c>
      <c r="O44">
        <v>0</v>
      </c>
      <c r="P44" t="s">
        <v>240</v>
      </c>
      <c r="Q44" t="s">
        <v>240</v>
      </c>
      <c r="R44" t="s">
        <v>240</v>
      </c>
    </row>
    <row r="45" spans="2:18" x14ac:dyDescent="0.45">
      <c r="B45">
        <v>0</v>
      </c>
      <c r="C45">
        <v>0</v>
      </c>
      <c r="D45" t="s">
        <v>132</v>
      </c>
      <c r="E45" t="s">
        <v>289</v>
      </c>
      <c r="G45">
        <v>2</v>
      </c>
      <c r="H45">
        <v>0</v>
      </c>
      <c r="I45">
        <v>0</v>
      </c>
      <c r="J45">
        <v>0</v>
      </c>
      <c r="K45">
        <v>0</v>
      </c>
      <c r="L45">
        <v>0</v>
      </c>
      <c r="M45">
        <v>552</v>
      </c>
      <c r="N45">
        <v>0</v>
      </c>
      <c r="O45">
        <v>0</v>
      </c>
      <c r="P45" t="s">
        <v>240</v>
      </c>
      <c r="Q45" t="s">
        <v>240</v>
      </c>
      <c r="R45" t="s">
        <v>240</v>
      </c>
    </row>
    <row r="46" spans="2:18" x14ac:dyDescent="0.45">
      <c r="B46">
        <v>0</v>
      </c>
      <c r="C46">
        <v>0</v>
      </c>
      <c r="D46" t="s">
        <v>132</v>
      </c>
      <c r="E46" t="s">
        <v>290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551</v>
      </c>
      <c r="N46">
        <v>0</v>
      </c>
      <c r="O46">
        <v>0</v>
      </c>
      <c r="P46" t="s">
        <v>240</v>
      </c>
      <c r="Q46" t="s">
        <v>240</v>
      </c>
      <c r="R46" t="s">
        <v>240</v>
      </c>
    </row>
    <row r="47" spans="2:18" x14ac:dyDescent="0.45">
      <c r="B47">
        <v>0</v>
      </c>
      <c r="C47">
        <v>0</v>
      </c>
      <c r="D47" t="s">
        <v>132</v>
      </c>
      <c r="E47" t="s">
        <v>203</v>
      </c>
      <c r="F47" t="s">
        <v>204</v>
      </c>
      <c r="G47">
        <v>4</v>
      </c>
      <c r="H47">
        <v>0</v>
      </c>
      <c r="I47">
        <v>0</v>
      </c>
      <c r="J47">
        <v>0</v>
      </c>
      <c r="K47">
        <v>0</v>
      </c>
      <c r="L47">
        <v>0</v>
      </c>
      <c r="M47">
        <v>524</v>
      </c>
      <c r="N47">
        <v>0</v>
      </c>
      <c r="O47">
        <v>0</v>
      </c>
      <c r="P47" t="s">
        <v>240</v>
      </c>
      <c r="Q47" t="s">
        <v>240</v>
      </c>
      <c r="R47" t="s">
        <v>240</v>
      </c>
    </row>
    <row r="48" spans="2:18" x14ac:dyDescent="0.45">
      <c r="B48">
        <v>0</v>
      </c>
      <c r="C48">
        <v>0</v>
      </c>
      <c r="D48" t="s">
        <v>132</v>
      </c>
      <c r="E48" t="s">
        <v>195</v>
      </c>
      <c r="F48" t="s">
        <v>291</v>
      </c>
      <c r="G48">
        <v>6</v>
      </c>
      <c r="H48">
        <v>0</v>
      </c>
      <c r="I48">
        <v>0</v>
      </c>
      <c r="J48">
        <v>0</v>
      </c>
      <c r="K48">
        <v>0</v>
      </c>
      <c r="L48">
        <v>0</v>
      </c>
      <c r="M48">
        <v>469</v>
      </c>
      <c r="N48">
        <v>0</v>
      </c>
      <c r="O48">
        <v>0</v>
      </c>
      <c r="P48" t="s">
        <v>240</v>
      </c>
      <c r="Q48" t="s">
        <v>240</v>
      </c>
      <c r="R48" t="s">
        <v>240</v>
      </c>
    </row>
    <row r="49" spans="2:18" x14ac:dyDescent="0.45">
      <c r="B49">
        <v>0</v>
      </c>
      <c r="C49">
        <v>0</v>
      </c>
      <c r="D49" t="s">
        <v>132</v>
      </c>
      <c r="E49" t="s">
        <v>222</v>
      </c>
      <c r="F49" t="s">
        <v>223</v>
      </c>
      <c r="G49">
        <v>2</v>
      </c>
      <c r="H49">
        <v>0</v>
      </c>
      <c r="I49">
        <v>0</v>
      </c>
      <c r="J49">
        <v>0</v>
      </c>
      <c r="K49">
        <v>0</v>
      </c>
      <c r="L49">
        <v>0</v>
      </c>
      <c r="M49">
        <v>468</v>
      </c>
      <c r="N49">
        <v>0</v>
      </c>
      <c r="O49">
        <v>0</v>
      </c>
      <c r="P49" t="s">
        <v>240</v>
      </c>
      <c r="Q49" t="s">
        <v>240</v>
      </c>
      <c r="R49" t="s">
        <v>240</v>
      </c>
    </row>
    <row r="50" spans="2:18" x14ac:dyDescent="0.45">
      <c r="B50">
        <v>0</v>
      </c>
      <c r="C50">
        <v>0</v>
      </c>
      <c r="D50" t="s">
        <v>132</v>
      </c>
      <c r="E50" t="s">
        <v>292</v>
      </c>
      <c r="G50">
        <v>3</v>
      </c>
      <c r="H50">
        <v>0</v>
      </c>
      <c r="I50">
        <v>0</v>
      </c>
      <c r="J50">
        <v>0</v>
      </c>
      <c r="K50">
        <v>0</v>
      </c>
      <c r="L50">
        <v>0</v>
      </c>
      <c r="M50">
        <v>435</v>
      </c>
      <c r="N50">
        <v>0</v>
      </c>
      <c r="O50">
        <v>0</v>
      </c>
      <c r="P50" t="s">
        <v>240</v>
      </c>
      <c r="Q50" t="s">
        <v>240</v>
      </c>
      <c r="R50" t="s">
        <v>240</v>
      </c>
    </row>
    <row r="51" spans="2:18" x14ac:dyDescent="0.45">
      <c r="B51">
        <v>0</v>
      </c>
      <c r="C51">
        <v>0</v>
      </c>
      <c r="D51" t="s">
        <v>132</v>
      </c>
      <c r="E51" t="s">
        <v>293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420</v>
      </c>
      <c r="N51">
        <v>0</v>
      </c>
      <c r="O51">
        <v>0</v>
      </c>
      <c r="P51" t="s">
        <v>240</v>
      </c>
      <c r="Q51" t="s">
        <v>240</v>
      </c>
      <c r="R51" t="s">
        <v>240</v>
      </c>
    </row>
    <row r="52" spans="2:18" x14ac:dyDescent="0.45">
      <c r="B52">
        <v>0</v>
      </c>
      <c r="C52">
        <v>0</v>
      </c>
      <c r="D52" t="s">
        <v>132</v>
      </c>
      <c r="E52" t="s">
        <v>294</v>
      </c>
      <c r="G52">
        <v>38</v>
      </c>
      <c r="H52">
        <v>0</v>
      </c>
      <c r="I52">
        <v>0</v>
      </c>
      <c r="J52">
        <v>0</v>
      </c>
      <c r="K52">
        <v>0</v>
      </c>
      <c r="L52">
        <v>0</v>
      </c>
      <c r="M52" s="1">
        <v>5447</v>
      </c>
      <c r="N52">
        <v>0</v>
      </c>
      <c r="O52">
        <v>0</v>
      </c>
      <c r="P52" t="s">
        <v>240</v>
      </c>
      <c r="Q52" t="s">
        <v>240</v>
      </c>
      <c r="R52" t="s">
        <v>240</v>
      </c>
    </row>
    <row r="53" spans="2:18" x14ac:dyDescent="0.45">
      <c r="G53" s="1"/>
      <c r="M53" s="1"/>
    </row>
  </sheetData>
  <conditionalFormatting sqref="B8:C52">
    <cfRule type="colorScale" priority="3">
      <colorScale>
        <cfvo type="min"/>
        <cfvo type="max"/>
        <color rgb="FFFCFCFF"/>
        <color rgb="FF63BE7B"/>
      </colorScale>
    </cfRule>
  </conditionalFormatting>
  <conditionalFormatting sqref="T10:T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615F7-CFF1-410F-BEA4-AB540BD8DE7F}">
  <dimension ref="B5:T77"/>
  <sheetViews>
    <sheetView workbookViewId="0">
      <selection activeCell="S9" sqref="S9:T19"/>
    </sheetView>
  </sheetViews>
  <sheetFormatPr defaultRowHeight="14.25" x14ac:dyDescent="0.45"/>
  <cols>
    <col min="13" max="13" width="15.19921875" customWidth="1"/>
    <col min="20" max="20" width="12.796875" customWidth="1"/>
  </cols>
  <sheetData>
    <row r="5" spans="2:20" x14ac:dyDescent="0.45">
      <c r="B5">
        <f>SUMPRODUCT(B8:B76,$M$8:$M$76)</f>
        <v>49355.5</v>
      </c>
      <c r="C5">
        <f>SUMPRODUCT(C8:C76,$M$8:$M$76)</f>
        <v>270264.5</v>
      </c>
    </row>
    <row r="7" spans="2:20" x14ac:dyDescent="0.45">
      <c r="B7" t="s">
        <v>148</v>
      </c>
      <c r="C7" t="s">
        <v>149</v>
      </c>
      <c r="D7" t="s">
        <v>152</v>
      </c>
      <c r="E7" t="s">
        <v>152</v>
      </c>
      <c r="F7" t="s">
        <v>1</v>
      </c>
      <c r="G7" t="s">
        <v>295</v>
      </c>
      <c r="H7" t="s">
        <v>3</v>
      </c>
      <c r="I7" t="s">
        <v>154</v>
      </c>
      <c r="J7" t="s">
        <v>155</v>
      </c>
      <c r="K7" t="s">
        <v>6</v>
      </c>
      <c r="L7" t="s">
        <v>242</v>
      </c>
      <c r="M7" t="s">
        <v>3</v>
      </c>
      <c r="N7" t="s">
        <v>242</v>
      </c>
      <c r="O7" t="s">
        <v>296</v>
      </c>
      <c r="P7" t="s">
        <v>240</v>
      </c>
      <c r="Q7" t="s">
        <v>240</v>
      </c>
      <c r="R7" t="s">
        <v>240</v>
      </c>
    </row>
    <row r="8" spans="2:20" x14ac:dyDescent="0.45">
      <c r="B8">
        <v>0</v>
      </c>
      <c r="C8">
        <v>0</v>
      </c>
      <c r="D8" s="11" t="s">
        <v>15</v>
      </c>
      <c r="E8" t="s">
        <v>297</v>
      </c>
      <c r="F8" t="s">
        <v>298</v>
      </c>
      <c r="G8">
        <v>647</v>
      </c>
      <c r="H8">
        <v>330</v>
      </c>
      <c r="I8">
        <v>35</v>
      </c>
      <c r="J8">
        <v>11</v>
      </c>
      <c r="K8">
        <v>24</v>
      </c>
      <c r="L8">
        <v>50.8</v>
      </c>
      <c r="M8" s="1">
        <v>11299609</v>
      </c>
      <c r="N8">
        <v>36.799999999999997</v>
      </c>
      <c r="O8">
        <v>0.7</v>
      </c>
      <c r="P8" t="s">
        <v>240</v>
      </c>
      <c r="Q8" t="s">
        <v>240</v>
      </c>
      <c r="R8" t="s">
        <v>240</v>
      </c>
    </row>
    <row r="9" spans="2:20" x14ac:dyDescent="0.45">
      <c r="B9">
        <v>0</v>
      </c>
      <c r="C9">
        <v>0</v>
      </c>
      <c r="D9" t="s">
        <v>8</v>
      </c>
      <c r="E9" t="s">
        <v>8</v>
      </c>
      <c r="F9" t="s">
        <v>299</v>
      </c>
      <c r="G9" t="s">
        <v>300</v>
      </c>
      <c r="H9" t="s">
        <v>301</v>
      </c>
      <c r="I9" t="s">
        <v>302</v>
      </c>
      <c r="J9" t="s">
        <v>303</v>
      </c>
      <c r="K9" t="s">
        <v>304</v>
      </c>
      <c r="L9" t="s">
        <v>305</v>
      </c>
      <c r="M9" s="1">
        <v>9347273</v>
      </c>
      <c r="N9" t="s">
        <v>306</v>
      </c>
      <c r="O9" t="s">
        <v>307</v>
      </c>
      <c r="P9" t="s">
        <v>240</v>
      </c>
      <c r="Q9" t="s">
        <v>240</v>
      </c>
      <c r="R9" t="s">
        <v>240</v>
      </c>
      <c r="S9" t="s">
        <v>148</v>
      </c>
      <c r="T9">
        <f>B5</f>
        <v>49355.5</v>
      </c>
    </row>
    <row r="10" spans="2:20" x14ac:dyDescent="0.45">
      <c r="B10">
        <v>0</v>
      </c>
      <c r="C10">
        <v>0</v>
      </c>
      <c r="D10" t="s">
        <v>238</v>
      </c>
      <c r="E10" t="s">
        <v>182</v>
      </c>
      <c r="F10" t="s">
        <v>18</v>
      </c>
      <c r="G10">
        <v>624</v>
      </c>
      <c r="H10">
        <v>1</v>
      </c>
      <c r="I10">
        <v>1</v>
      </c>
      <c r="J10">
        <v>0</v>
      </c>
      <c r="K10">
        <v>1</v>
      </c>
      <c r="L10">
        <v>0.2</v>
      </c>
      <c r="M10" s="1">
        <v>3881099</v>
      </c>
      <c r="N10">
        <v>12.6</v>
      </c>
      <c r="O10">
        <v>9.5</v>
      </c>
      <c r="P10" t="s">
        <v>240</v>
      </c>
      <c r="Q10" t="s">
        <v>240</v>
      </c>
      <c r="R10" t="s">
        <v>240</v>
      </c>
      <c r="S10" t="s">
        <v>238</v>
      </c>
      <c r="T10" s="6">
        <f>SUMIF($D$8:$D$52,S10,$M$8:$M$52)</f>
        <v>3881099</v>
      </c>
    </row>
    <row r="11" spans="2:20" x14ac:dyDescent="0.45">
      <c r="B11">
        <v>0</v>
      </c>
      <c r="C11">
        <v>0</v>
      </c>
      <c r="D11" t="s">
        <v>20</v>
      </c>
      <c r="E11" t="s">
        <v>20</v>
      </c>
      <c r="F11" t="s">
        <v>308</v>
      </c>
      <c r="G11">
        <v>631</v>
      </c>
      <c r="H11">
        <v>8</v>
      </c>
      <c r="I11">
        <v>0</v>
      </c>
      <c r="J11">
        <v>49</v>
      </c>
      <c r="K11" t="s">
        <v>309</v>
      </c>
      <c r="L11">
        <v>1.2</v>
      </c>
      <c r="M11" s="1">
        <v>2415916</v>
      </c>
      <c r="N11">
        <v>7.9</v>
      </c>
      <c r="O11" t="s">
        <v>310</v>
      </c>
      <c r="P11" t="s">
        <v>240</v>
      </c>
      <c r="Q11" t="s">
        <v>240</v>
      </c>
      <c r="R11" t="s">
        <v>240</v>
      </c>
      <c r="S11" t="s">
        <v>15</v>
      </c>
      <c r="T11" s="6">
        <f t="shared" ref="T11:T15" si="0">SUMIF($D$8:$D$52,S11,$M$8:$M$52)</f>
        <v>11334226</v>
      </c>
    </row>
    <row r="12" spans="2:20" x14ac:dyDescent="0.45">
      <c r="B12">
        <v>0</v>
      </c>
      <c r="C12">
        <v>0</v>
      </c>
      <c r="D12" t="s">
        <v>142</v>
      </c>
      <c r="E12" t="s">
        <v>142</v>
      </c>
      <c r="F12" t="s">
        <v>168</v>
      </c>
      <c r="G12">
        <v>59</v>
      </c>
      <c r="H12">
        <v>56</v>
      </c>
      <c r="I12">
        <v>50</v>
      </c>
      <c r="J12">
        <v>0</v>
      </c>
      <c r="K12">
        <v>50</v>
      </c>
      <c r="L12">
        <v>8.6</v>
      </c>
      <c r="M12" s="1">
        <v>1454436</v>
      </c>
      <c r="N12">
        <v>4.7</v>
      </c>
      <c r="O12">
        <v>3.1</v>
      </c>
      <c r="P12" t="s">
        <v>240</v>
      </c>
      <c r="Q12" t="s">
        <v>240</v>
      </c>
      <c r="R12" t="s">
        <v>240</v>
      </c>
      <c r="S12" t="s">
        <v>20</v>
      </c>
      <c r="T12" s="6">
        <f t="shared" si="0"/>
        <v>2415916</v>
      </c>
    </row>
    <row r="13" spans="2:20" x14ac:dyDescent="0.45">
      <c r="B13">
        <v>0</v>
      </c>
      <c r="C13">
        <v>0</v>
      </c>
      <c r="D13" t="s">
        <v>23</v>
      </c>
      <c r="E13" t="s">
        <v>23</v>
      </c>
      <c r="F13" t="s">
        <v>311</v>
      </c>
      <c r="G13">
        <v>538</v>
      </c>
      <c r="H13">
        <v>1</v>
      </c>
      <c r="I13">
        <v>0</v>
      </c>
      <c r="J13">
        <v>0</v>
      </c>
      <c r="K13">
        <v>0</v>
      </c>
      <c r="L13">
        <v>0.2</v>
      </c>
      <c r="M13" s="1">
        <v>1111603</v>
      </c>
      <c r="N13">
        <v>3.8</v>
      </c>
      <c r="O13">
        <v>2.7</v>
      </c>
      <c r="P13" t="s">
        <v>240</v>
      </c>
      <c r="Q13" t="s">
        <v>240</v>
      </c>
      <c r="R13" t="s">
        <v>240</v>
      </c>
      <c r="S13" t="s">
        <v>8</v>
      </c>
      <c r="T13" s="6">
        <f t="shared" si="0"/>
        <v>9347273</v>
      </c>
    </row>
    <row r="14" spans="2:20" x14ac:dyDescent="0.45">
      <c r="B14">
        <v>0</v>
      </c>
      <c r="C14">
        <v>0</v>
      </c>
      <c r="D14" t="s">
        <v>147</v>
      </c>
      <c r="E14" t="s">
        <v>171</v>
      </c>
      <c r="F14" t="s">
        <v>312</v>
      </c>
      <c r="G14">
        <v>16</v>
      </c>
      <c r="H14">
        <v>8</v>
      </c>
      <c r="I14">
        <v>1</v>
      </c>
      <c r="J14">
        <v>1</v>
      </c>
      <c r="K14">
        <v>0</v>
      </c>
      <c r="L14">
        <v>1.2</v>
      </c>
      <c r="M14" s="1">
        <v>184260</v>
      </c>
      <c r="N14">
        <v>0.6</v>
      </c>
      <c r="O14">
        <v>0</v>
      </c>
      <c r="P14" t="s">
        <v>240</v>
      </c>
      <c r="Q14" t="s">
        <v>240</v>
      </c>
      <c r="R14" t="s">
        <v>240</v>
      </c>
      <c r="S14" t="s">
        <v>23</v>
      </c>
      <c r="T14" s="6">
        <f t="shared" si="0"/>
        <v>1111603</v>
      </c>
    </row>
    <row r="15" spans="2:20" x14ac:dyDescent="0.45">
      <c r="B15">
        <v>0</v>
      </c>
      <c r="C15">
        <v>1</v>
      </c>
      <c r="D15" t="s">
        <v>132</v>
      </c>
      <c r="E15" t="s">
        <v>37</v>
      </c>
      <c r="F15" t="s">
        <v>263</v>
      </c>
      <c r="G15">
        <v>40</v>
      </c>
      <c r="H15">
        <v>3</v>
      </c>
      <c r="I15">
        <v>0</v>
      </c>
      <c r="J15">
        <v>0</v>
      </c>
      <c r="K15">
        <v>0</v>
      </c>
      <c r="L15">
        <v>0.5</v>
      </c>
      <c r="M15" s="1">
        <v>181704</v>
      </c>
      <c r="N15">
        <v>0.6</v>
      </c>
      <c r="O15">
        <v>0</v>
      </c>
      <c r="P15" t="s">
        <v>240</v>
      </c>
      <c r="Q15" t="s">
        <v>240</v>
      </c>
      <c r="R15" t="s">
        <v>240</v>
      </c>
      <c r="S15" t="s">
        <v>142</v>
      </c>
      <c r="T15" s="6">
        <f t="shared" si="0"/>
        <v>1454436</v>
      </c>
    </row>
    <row r="16" spans="2:20" x14ac:dyDescent="0.45">
      <c r="B16">
        <v>0</v>
      </c>
      <c r="C16">
        <v>0</v>
      </c>
      <c r="D16" t="s">
        <v>147</v>
      </c>
      <c r="E16" t="s">
        <v>32</v>
      </c>
      <c r="F16" t="s">
        <v>262</v>
      </c>
      <c r="G16">
        <v>18</v>
      </c>
      <c r="H16">
        <v>4</v>
      </c>
      <c r="I16">
        <v>0</v>
      </c>
      <c r="J16">
        <v>1</v>
      </c>
      <c r="K16" t="s">
        <v>258</v>
      </c>
      <c r="L16">
        <v>0.6</v>
      </c>
      <c r="M16" s="1">
        <v>176232</v>
      </c>
      <c r="N16">
        <v>0.6</v>
      </c>
      <c r="O16">
        <v>0</v>
      </c>
      <c r="P16" t="s">
        <v>240</v>
      </c>
      <c r="Q16" t="s">
        <v>240</v>
      </c>
      <c r="R16" t="s">
        <v>240</v>
      </c>
      <c r="S16" t="s">
        <v>149</v>
      </c>
      <c r="T16" s="6">
        <f>C5</f>
        <v>270264.5</v>
      </c>
    </row>
    <row r="17" spans="2:20" x14ac:dyDescent="0.45">
      <c r="B17">
        <v>0</v>
      </c>
      <c r="C17">
        <v>0</v>
      </c>
      <c r="D17" t="s">
        <v>147</v>
      </c>
      <c r="E17" t="s">
        <v>177</v>
      </c>
      <c r="F17" t="s">
        <v>313</v>
      </c>
      <c r="G17">
        <v>15</v>
      </c>
      <c r="H17">
        <v>2</v>
      </c>
      <c r="I17">
        <v>2</v>
      </c>
      <c r="J17">
        <v>0</v>
      </c>
      <c r="K17">
        <v>2</v>
      </c>
      <c r="L17">
        <v>0.3</v>
      </c>
      <c r="M17" s="1">
        <v>114935</v>
      </c>
      <c r="N17">
        <v>0.4</v>
      </c>
      <c r="O17" t="s">
        <v>314</v>
      </c>
      <c r="P17" t="s">
        <v>240</v>
      </c>
      <c r="Q17" t="s">
        <v>240</v>
      </c>
      <c r="R17" t="s">
        <v>240</v>
      </c>
    </row>
    <row r="18" spans="2:20" x14ac:dyDescent="0.45">
      <c r="B18">
        <v>0</v>
      </c>
      <c r="C18">
        <v>0</v>
      </c>
      <c r="D18" t="s">
        <v>147</v>
      </c>
      <c r="E18" t="s">
        <v>176</v>
      </c>
      <c r="F18" t="s">
        <v>315</v>
      </c>
      <c r="G18">
        <v>18</v>
      </c>
      <c r="H18">
        <v>3</v>
      </c>
      <c r="I18">
        <v>0</v>
      </c>
      <c r="J18">
        <v>0</v>
      </c>
      <c r="K18">
        <v>0</v>
      </c>
      <c r="L18">
        <v>0.5</v>
      </c>
      <c r="M18" s="1">
        <v>99809</v>
      </c>
      <c r="N18">
        <v>0.3</v>
      </c>
      <c r="O18">
        <v>0</v>
      </c>
      <c r="P18" t="s">
        <v>240</v>
      </c>
      <c r="Q18" t="s">
        <v>240</v>
      </c>
      <c r="R18" t="s">
        <v>240</v>
      </c>
      <c r="S18" t="s">
        <v>147</v>
      </c>
      <c r="T18" s="6">
        <f t="shared" ref="T18" si="1">SUMIF($D$8:$D$52,S18,$M$8:$M$52)</f>
        <v>636792</v>
      </c>
    </row>
    <row r="19" spans="2:20" x14ac:dyDescent="0.45">
      <c r="B19">
        <v>0.5</v>
      </c>
      <c r="C19">
        <v>0.5</v>
      </c>
      <c r="D19" t="s">
        <v>132</v>
      </c>
      <c r="E19" t="s">
        <v>264</v>
      </c>
      <c r="F19" t="s">
        <v>30</v>
      </c>
      <c r="G19">
        <v>170</v>
      </c>
      <c r="H19">
        <v>1</v>
      </c>
      <c r="I19">
        <v>0</v>
      </c>
      <c r="J19">
        <v>0</v>
      </c>
      <c r="K19">
        <v>0</v>
      </c>
      <c r="L19">
        <v>0.2</v>
      </c>
      <c r="M19" s="1">
        <v>98711</v>
      </c>
      <c r="N19">
        <v>0.3</v>
      </c>
      <c r="O19" t="s">
        <v>30</v>
      </c>
      <c r="P19" t="s">
        <v>240</v>
      </c>
      <c r="Q19" t="s">
        <v>240</v>
      </c>
      <c r="R19" t="s">
        <v>240</v>
      </c>
      <c r="T19" s="9">
        <f>SUM(M8:M52)-T18</f>
        <v>30038068</v>
      </c>
    </row>
    <row r="20" spans="2:20" x14ac:dyDescent="0.45">
      <c r="B20">
        <v>0</v>
      </c>
      <c r="C20">
        <v>0</v>
      </c>
      <c r="D20" t="s">
        <v>147</v>
      </c>
      <c r="E20" t="s">
        <v>42</v>
      </c>
      <c r="F20" t="s">
        <v>316</v>
      </c>
      <c r="G20">
        <v>18</v>
      </c>
      <c r="H20">
        <v>0</v>
      </c>
      <c r="I20">
        <v>0</v>
      </c>
      <c r="J20">
        <v>1</v>
      </c>
      <c r="K20" t="s">
        <v>258</v>
      </c>
      <c r="L20">
        <v>0</v>
      </c>
      <c r="M20" s="1">
        <v>61556</v>
      </c>
      <c r="N20">
        <v>0.2</v>
      </c>
      <c r="O20">
        <v>0.1</v>
      </c>
      <c r="P20" t="s">
        <v>240</v>
      </c>
      <c r="Q20" t="s">
        <v>240</v>
      </c>
      <c r="R20" t="s">
        <v>240</v>
      </c>
    </row>
    <row r="21" spans="2:20" x14ac:dyDescent="0.45">
      <c r="B21">
        <v>0</v>
      </c>
      <c r="C21">
        <v>1</v>
      </c>
      <c r="D21" t="s">
        <v>132</v>
      </c>
      <c r="E21" t="s">
        <v>317</v>
      </c>
      <c r="F21" t="s">
        <v>318</v>
      </c>
      <c r="G21">
        <v>32</v>
      </c>
      <c r="H21">
        <v>0</v>
      </c>
      <c r="I21">
        <v>0</v>
      </c>
      <c r="J21">
        <v>0</v>
      </c>
      <c r="K21">
        <v>0</v>
      </c>
      <c r="L21">
        <v>0</v>
      </c>
      <c r="M21" s="1">
        <v>39205</v>
      </c>
      <c r="N21">
        <v>0.1</v>
      </c>
      <c r="O21">
        <v>0</v>
      </c>
      <c r="P21" t="s">
        <v>240</v>
      </c>
      <c r="Q21" t="s">
        <v>240</v>
      </c>
      <c r="R21" t="s">
        <v>240</v>
      </c>
    </row>
    <row r="22" spans="2:20" x14ac:dyDescent="0.45">
      <c r="B22">
        <v>0</v>
      </c>
      <c r="C22">
        <v>0</v>
      </c>
      <c r="D22" t="s">
        <v>132</v>
      </c>
      <c r="E22" t="s">
        <v>319</v>
      </c>
      <c r="F22" t="s">
        <v>63</v>
      </c>
      <c r="G22">
        <v>128</v>
      </c>
      <c r="H22">
        <v>0</v>
      </c>
      <c r="I22">
        <v>0</v>
      </c>
      <c r="J22">
        <v>0</v>
      </c>
      <c r="K22">
        <v>0</v>
      </c>
      <c r="L22">
        <v>0</v>
      </c>
      <c r="M22" s="1">
        <v>36490</v>
      </c>
      <c r="N22">
        <v>0.1</v>
      </c>
      <c r="O22">
        <v>0.1</v>
      </c>
      <c r="P22" t="s">
        <v>240</v>
      </c>
      <c r="Q22" t="s">
        <v>240</v>
      </c>
      <c r="R22" t="s">
        <v>240</v>
      </c>
    </row>
    <row r="23" spans="2:20" x14ac:dyDescent="0.45">
      <c r="B23">
        <v>0</v>
      </c>
      <c r="C23">
        <v>0</v>
      </c>
      <c r="D23" t="s">
        <v>15</v>
      </c>
      <c r="E23" t="s">
        <v>181</v>
      </c>
      <c r="F23" t="s">
        <v>268</v>
      </c>
      <c r="G23">
        <v>1</v>
      </c>
      <c r="H23">
        <v>1</v>
      </c>
      <c r="I23">
        <v>0</v>
      </c>
      <c r="J23">
        <v>0</v>
      </c>
      <c r="K23">
        <v>0</v>
      </c>
      <c r="L23">
        <v>0.2</v>
      </c>
      <c r="M23" s="1">
        <v>34617</v>
      </c>
      <c r="N23">
        <v>0.1</v>
      </c>
      <c r="O23">
        <v>0</v>
      </c>
      <c r="P23" t="s">
        <v>240</v>
      </c>
      <c r="Q23" t="s">
        <v>240</v>
      </c>
      <c r="R23" t="s">
        <v>240</v>
      </c>
    </row>
    <row r="24" spans="2:20" x14ac:dyDescent="0.45">
      <c r="B24">
        <v>0</v>
      </c>
      <c r="C24">
        <v>0</v>
      </c>
      <c r="D24" t="s">
        <v>132</v>
      </c>
      <c r="E24" t="s">
        <v>320</v>
      </c>
      <c r="F24" t="s">
        <v>321</v>
      </c>
      <c r="G24">
        <v>13</v>
      </c>
      <c r="H24">
        <v>0</v>
      </c>
      <c r="I24">
        <v>0</v>
      </c>
      <c r="J24">
        <v>0</v>
      </c>
      <c r="K24">
        <v>0</v>
      </c>
      <c r="L24">
        <v>0</v>
      </c>
      <c r="M24" s="1">
        <v>20210</v>
      </c>
      <c r="N24">
        <v>0.1</v>
      </c>
      <c r="O24">
        <v>0</v>
      </c>
      <c r="P24" t="s">
        <v>240</v>
      </c>
      <c r="Q24" t="s">
        <v>240</v>
      </c>
      <c r="R24" t="s">
        <v>240</v>
      </c>
    </row>
    <row r="25" spans="2:20" x14ac:dyDescent="0.45">
      <c r="B25">
        <v>0</v>
      </c>
      <c r="C25">
        <v>0</v>
      </c>
      <c r="D25" t="s">
        <v>132</v>
      </c>
      <c r="E25" t="s">
        <v>279</v>
      </c>
      <c r="F25" t="s">
        <v>52</v>
      </c>
      <c r="G25">
        <v>7</v>
      </c>
      <c r="H25">
        <v>0</v>
      </c>
      <c r="I25">
        <v>0</v>
      </c>
      <c r="J25">
        <v>0</v>
      </c>
      <c r="K25">
        <v>0</v>
      </c>
      <c r="L25">
        <v>0</v>
      </c>
      <c r="M25" s="1">
        <v>16538</v>
      </c>
      <c r="N25">
        <v>0.1</v>
      </c>
      <c r="O25">
        <v>0</v>
      </c>
      <c r="P25" t="s">
        <v>240</v>
      </c>
      <c r="Q25" t="s">
        <v>240</v>
      </c>
      <c r="R25" t="s">
        <v>240</v>
      </c>
    </row>
    <row r="26" spans="2:20" x14ac:dyDescent="0.45">
      <c r="B26">
        <v>0</v>
      </c>
      <c r="C26">
        <v>0</v>
      </c>
      <c r="D26" t="s">
        <v>132</v>
      </c>
      <c r="E26" t="s">
        <v>322</v>
      </c>
      <c r="F26" t="s">
        <v>35</v>
      </c>
      <c r="G26">
        <v>4</v>
      </c>
      <c r="H26">
        <v>0</v>
      </c>
      <c r="I26">
        <v>0</v>
      </c>
      <c r="J26">
        <v>0</v>
      </c>
      <c r="K26">
        <v>0</v>
      </c>
      <c r="L26">
        <v>0</v>
      </c>
      <c r="M26" s="1">
        <v>9989</v>
      </c>
      <c r="N26">
        <v>0</v>
      </c>
      <c r="O26" t="s">
        <v>173</v>
      </c>
      <c r="P26" t="s">
        <v>240</v>
      </c>
      <c r="Q26" t="s">
        <v>240</v>
      </c>
      <c r="R26" t="s">
        <v>240</v>
      </c>
    </row>
    <row r="27" spans="2:20" x14ac:dyDescent="0.45">
      <c r="B27">
        <v>0</v>
      </c>
      <c r="C27">
        <v>0</v>
      </c>
      <c r="D27" t="s">
        <v>132</v>
      </c>
      <c r="E27" t="s">
        <v>323</v>
      </c>
      <c r="F27" t="s">
        <v>324</v>
      </c>
      <c r="G27">
        <v>34</v>
      </c>
      <c r="H27">
        <v>0</v>
      </c>
      <c r="I27">
        <v>0</v>
      </c>
      <c r="J27">
        <v>0</v>
      </c>
      <c r="K27">
        <v>0</v>
      </c>
      <c r="L27">
        <v>0</v>
      </c>
      <c r="M27" s="1">
        <v>8419</v>
      </c>
      <c r="N27">
        <v>0</v>
      </c>
      <c r="O27" t="s">
        <v>36</v>
      </c>
      <c r="P27" t="s">
        <v>240</v>
      </c>
      <c r="Q27" t="s">
        <v>240</v>
      </c>
      <c r="R27" t="s">
        <v>240</v>
      </c>
    </row>
    <row r="28" spans="2:20" x14ac:dyDescent="0.45">
      <c r="B28">
        <v>0</v>
      </c>
      <c r="C28">
        <v>0</v>
      </c>
      <c r="D28" t="s">
        <v>132</v>
      </c>
      <c r="E28" t="s">
        <v>70</v>
      </c>
      <c r="F28" t="s">
        <v>189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 s="1">
        <v>7854</v>
      </c>
      <c r="N28">
        <v>0</v>
      </c>
      <c r="O28">
        <v>0</v>
      </c>
      <c r="P28" t="s">
        <v>240</v>
      </c>
      <c r="Q28" t="s">
        <v>240</v>
      </c>
      <c r="R28" t="s">
        <v>240</v>
      </c>
    </row>
    <row r="29" spans="2:20" x14ac:dyDescent="0.45">
      <c r="B29">
        <v>0</v>
      </c>
      <c r="C29">
        <v>0</v>
      </c>
      <c r="D29" t="s">
        <v>132</v>
      </c>
      <c r="E29" t="s">
        <v>325</v>
      </c>
      <c r="F29" t="s">
        <v>272</v>
      </c>
      <c r="G29">
        <v>5</v>
      </c>
      <c r="H29">
        <v>0</v>
      </c>
      <c r="I29">
        <v>0</v>
      </c>
      <c r="J29">
        <v>0</v>
      </c>
      <c r="K29">
        <v>0</v>
      </c>
      <c r="L29">
        <v>0</v>
      </c>
      <c r="M29" s="1">
        <v>6822</v>
      </c>
      <c r="N29">
        <v>0</v>
      </c>
      <c r="O29">
        <v>0</v>
      </c>
      <c r="P29" t="s">
        <v>240</v>
      </c>
      <c r="Q29" t="s">
        <v>240</v>
      </c>
      <c r="R29" t="s">
        <v>240</v>
      </c>
    </row>
    <row r="30" spans="2:20" x14ac:dyDescent="0.45">
      <c r="B30">
        <v>0</v>
      </c>
      <c r="C30">
        <v>0</v>
      </c>
      <c r="D30" t="s">
        <v>132</v>
      </c>
      <c r="E30" t="s">
        <v>326</v>
      </c>
      <c r="F30" t="s">
        <v>327</v>
      </c>
      <c r="G30">
        <v>14</v>
      </c>
      <c r="H30">
        <v>0</v>
      </c>
      <c r="I30">
        <v>0</v>
      </c>
      <c r="J30">
        <v>0</v>
      </c>
      <c r="K30">
        <v>0</v>
      </c>
      <c r="L30">
        <v>0</v>
      </c>
      <c r="M30" s="1">
        <v>6811</v>
      </c>
      <c r="N30">
        <v>0</v>
      </c>
      <c r="O30" t="s">
        <v>36</v>
      </c>
      <c r="P30" t="s">
        <v>240</v>
      </c>
      <c r="Q30" t="s">
        <v>240</v>
      </c>
      <c r="R30" t="s">
        <v>240</v>
      </c>
    </row>
    <row r="31" spans="2:20" x14ac:dyDescent="0.45">
      <c r="B31">
        <v>0</v>
      </c>
      <c r="C31">
        <v>0</v>
      </c>
      <c r="D31" t="s">
        <v>132</v>
      </c>
      <c r="E31" t="s">
        <v>202</v>
      </c>
      <c r="F31" t="s">
        <v>91</v>
      </c>
      <c r="G31">
        <v>35</v>
      </c>
      <c r="H31">
        <v>0</v>
      </c>
      <c r="I31">
        <v>0</v>
      </c>
      <c r="J31">
        <v>0</v>
      </c>
      <c r="K31">
        <v>0</v>
      </c>
      <c r="L31">
        <v>0</v>
      </c>
      <c r="M31" s="1">
        <v>6531</v>
      </c>
      <c r="N31">
        <v>0</v>
      </c>
      <c r="O31" t="s">
        <v>174</v>
      </c>
      <c r="P31" t="s">
        <v>240</v>
      </c>
      <c r="Q31" t="s">
        <v>240</v>
      </c>
      <c r="R31" t="s">
        <v>240</v>
      </c>
    </row>
    <row r="32" spans="2:20" x14ac:dyDescent="0.45">
      <c r="B32">
        <v>0</v>
      </c>
      <c r="C32">
        <v>0</v>
      </c>
      <c r="D32" t="s">
        <v>132</v>
      </c>
      <c r="E32" t="s">
        <v>205</v>
      </c>
      <c r="F32" t="s">
        <v>206</v>
      </c>
      <c r="G32">
        <v>6</v>
      </c>
      <c r="H32">
        <v>0</v>
      </c>
      <c r="I32">
        <v>0</v>
      </c>
      <c r="J32">
        <v>0</v>
      </c>
      <c r="K32">
        <v>0</v>
      </c>
      <c r="L32">
        <v>0</v>
      </c>
      <c r="M32" s="1">
        <v>5675</v>
      </c>
      <c r="N32">
        <v>0</v>
      </c>
      <c r="O32">
        <v>0</v>
      </c>
      <c r="P32" t="s">
        <v>240</v>
      </c>
      <c r="Q32" t="s">
        <v>240</v>
      </c>
      <c r="R32" t="s">
        <v>240</v>
      </c>
    </row>
    <row r="33" spans="2:18" x14ac:dyDescent="0.45">
      <c r="B33">
        <v>0</v>
      </c>
      <c r="C33">
        <v>0</v>
      </c>
      <c r="D33" t="s">
        <v>132</v>
      </c>
      <c r="E33" t="s">
        <v>199</v>
      </c>
      <c r="F33" t="s">
        <v>61</v>
      </c>
      <c r="G33">
        <v>5</v>
      </c>
      <c r="H33">
        <v>0</v>
      </c>
      <c r="I33">
        <v>0</v>
      </c>
      <c r="J33">
        <v>0</v>
      </c>
      <c r="K33">
        <v>0</v>
      </c>
      <c r="L33">
        <v>0</v>
      </c>
      <c r="M33" s="1">
        <v>5407</v>
      </c>
      <c r="N33">
        <v>0</v>
      </c>
      <c r="O33">
        <v>0</v>
      </c>
      <c r="P33" t="s">
        <v>240</v>
      </c>
      <c r="Q33" t="s">
        <v>240</v>
      </c>
      <c r="R33" t="s">
        <v>240</v>
      </c>
    </row>
    <row r="34" spans="2:18" x14ac:dyDescent="0.45">
      <c r="B34">
        <v>0</v>
      </c>
      <c r="C34">
        <v>0</v>
      </c>
      <c r="D34" t="s">
        <v>132</v>
      </c>
      <c r="E34" t="s">
        <v>186</v>
      </c>
      <c r="F34" t="s">
        <v>81</v>
      </c>
      <c r="G34">
        <v>4</v>
      </c>
      <c r="H34">
        <v>0</v>
      </c>
      <c r="I34">
        <v>0</v>
      </c>
      <c r="J34">
        <v>0</v>
      </c>
      <c r="K34">
        <v>0</v>
      </c>
      <c r="L34">
        <v>0</v>
      </c>
      <c r="M34" s="1">
        <v>4480</v>
      </c>
      <c r="N34">
        <v>0</v>
      </c>
      <c r="O34">
        <v>0</v>
      </c>
      <c r="P34" t="s">
        <v>240</v>
      </c>
      <c r="Q34" t="s">
        <v>240</v>
      </c>
      <c r="R34" t="s">
        <v>240</v>
      </c>
    </row>
    <row r="35" spans="2:18" x14ac:dyDescent="0.45">
      <c r="B35">
        <v>0</v>
      </c>
      <c r="C35">
        <v>0</v>
      </c>
      <c r="D35" t="s">
        <v>132</v>
      </c>
      <c r="E35" t="s">
        <v>84</v>
      </c>
      <c r="F35" t="s">
        <v>328</v>
      </c>
      <c r="G35">
        <v>27</v>
      </c>
      <c r="H35">
        <v>0</v>
      </c>
      <c r="I35">
        <v>0</v>
      </c>
      <c r="J35">
        <v>0</v>
      </c>
      <c r="K35">
        <v>0</v>
      </c>
      <c r="L35">
        <v>0</v>
      </c>
      <c r="M35" s="1">
        <v>3898</v>
      </c>
      <c r="N35">
        <v>0</v>
      </c>
      <c r="O35">
        <v>0</v>
      </c>
      <c r="P35" t="s">
        <v>240</v>
      </c>
      <c r="Q35" t="s">
        <v>240</v>
      </c>
      <c r="R35" t="s">
        <v>240</v>
      </c>
    </row>
    <row r="36" spans="2:18" x14ac:dyDescent="0.45">
      <c r="B36">
        <v>0</v>
      </c>
      <c r="C36">
        <v>0</v>
      </c>
      <c r="D36" t="s">
        <v>132</v>
      </c>
      <c r="E36" t="s">
        <v>283</v>
      </c>
      <c r="F36" t="s">
        <v>329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 s="1">
        <v>3729</v>
      </c>
      <c r="N36">
        <v>0</v>
      </c>
      <c r="O36" t="s">
        <v>36</v>
      </c>
      <c r="P36" t="s">
        <v>240</v>
      </c>
      <c r="Q36" t="s">
        <v>240</v>
      </c>
      <c r="R36" t="s">
        <v>240</v>
      </c>
    </row>
    <row r="37" spans="2:18" x14ac:dyDescent="0.45">
      <c r="B37">
        <v>0</v>
      </c>
      <c r="C37">
        <v>0</v>
      </c>
      <c r="D37" t="s">
        <v>132</v>
      </c>
      <c r="E37" t="s">
        <v>284</v>
      </c>
      <c r="F37" t="s">
        <v>285</v>
      </c>
      <c r="G37">
        <v>8</v>
      </c>
      <c r="H37">
        <v>0</v>
      </c>
      <c r="I37">
        <v>0</v>
      </c>
      <c r="J37">
        <v>0</v>
      </c>
      <c r="K37">
        <v>0</v>
      </c>
      <c r="L37">
        <v>0</v>
      </c>
      <c r="M37" s="1">
        <v>3481</v>
      </c>
      <c r="N37">
        <v>0</v>
      </c>
      <c r="O37">
        <v>0</v>
      </c>
      <c r="P37" t="s">
        <v>240</v>
      </c>
      <c r="Q37" t="s">
        <v>240</v>
      </c>
      <c r="R37" t="s">
        <v>240</v>
      </c>
    </row>
    <row r="38" spans="2:18" x14ac:dyDescent="0.45">
      <c r="B38">
        <v>0</v>
      </c>
      <c r="C38">
        <v>0</v>
      </c>
      <c r="D38" t="s">
        <v>132</v>
      </c>
      <c r="E38" t="s">
        <v>192</v>
      </c>
      <c r="F38" t="s">
        <v>87</v>
      </c>
      <c r="G38">
        <v>17</v>
      </c>
      <c r="H38">
        <v>0</v>
      </c>
      <c r="I38">
        <v>0</v>
      </c>
      <c r="J38">
        <v>0</v>
      </c>
      <c r="K38">
        <v>0</v>
      </c>
      <c r="L38">
        <v>0</v>
      </c>
      <c r="M38" s="1">
        <v>3260</v>
      </c>
      <c r="N38">
        <v>0</v>
      </c>
      <c r="O38">
        <v>0</v>
      </c>
      <c r="P38" t="s">
        <v>240</v>
      </c>
      <c r="Q38" t="s">
        <v>240</v>
      </c>
      <c r="R38" t="s">
        <v>240</v>
      </c>
    </row>
    <row r="39" spans="2:18" x14ac:dyDescent="0.45">
      <c r="B39">
        <v>0</v>
      </c>
      <c r="C39">
        <v>0</v>
      </c>
      <c r="D39" t="s">
        <v>132</v>
      </c>
      <c r="E39" t="s">
        <v>330</v>
      </c>
      <c r="F39" t="s">
        <v>229</v>
      </c>
      <c r="G39">
        <v>9</v>
      </c>
      <c r="H39">
        <v>0</v>
      </c>
      <c r="I39">
        <v>0</v>
      </c>
      <c r="J39">
        <v>0</v>
      </c>
      <c r="K39">
        <v>0</v>
      </c>
      <c r="L39">
        <v>0</v>
      </c>
      <c r="M39" s="1">
        <v>3205</v>
      </c>
      <c r="N39">
        <v>0</v>
      </c>
      <c r="O39" t="s">
        <v>173</v>
      </c>
      <c r="P39" t="s">
        <v>240</v>
      </c>
      <c r="Q39" t="s">
        <v>240</v>
      </c>
      <c r="R39" t="s">
        <v>240</v>
      </c>
    </row>
    <row r="40" spans="2:18" x14ac:dyDescent="0.45">
      <c r="B40">
        <v>0</v>
      </c>
      <c r="C40">
        <v>0</v>
      </c>
      <c r="D40" t="s">
        <v>132</v>
      </c>
      <c r="E40" t="s">
        <v>331</v>
      </c>
      <c r="F40" t="s">
        <v>30</v>
      </c>
      <c r="H40">
        <v>0</v>
      </c>
      <c r="I40">
        <v>0</v>
      </c>
      <c r="J40">
        <v>0</v>
      </c>
      <c r="K40">
        <v>0</v>
      </c>
      <c r="L40">
        <v>0</v>
      </c>
      <c r="M40" s="1">
        <v>3012</v>
      </c>
      <c r="N40">
        <v>0</v>
      </c>
      <c r="O40" t="s">
        <v>30</v>
      </c>
      <c r="P40" t="s">
        <v>240</v>
      </c>
      <c r="Q40" t="s">
        <v>240</v>
      </c>
      <c r="R40" t="s">
        <v>240</v>
      </c>
    </row>
    <row r="41" spans="2:18" x14ac:dyDescent="0.45">
      <c r="B41">
        <v>0</v>
      </c>
      <c r="C41">
        <v>0</v>
      </c>
      <c r="D41" t="s">
        <v>132</v>
      </c>
      <c r="E41" t="s">
        <v>288</v>
      </c>
      <c r="F41" t="s">
        <v>332</v>
      </c>
      <c r="G41">
        <v>5</v>
      </c>
      <c r="H41">
        <v>0</v>
      </c>
      <c r="I41">
        <v>0</v>
      </c>
      <c r="J41">
        <v>0</v>
      </c>
      <c r="K41">
        <v>0</v>
      </c>
      <c r="L41">
        <v>0</v>
      </c>
      <c r="M41" s="1">
        <v>2724</v>
      </c>
      <c r="N41">
        <v>0</v>
      </c>
      <c r="O41">
        <v>0</v>
      </c>
      <c r="P41" t="s">
        <v>240</v>
      </c>
      <c r="Q41" t="s">
        <v>240</v>
      </c>
      <c r="R41" t="s">
        <v>240</v>
      </c>
    </row>
    <row r="42" spans="2:18" x14ac:dyDescent="0.45">
      <c r="B42">
        <v>0</v>
      </c>
      <c r="C42">
        <v>0</v>
      </c>
      <c r="D42" t="s">
        <v>132</v>
      </c>
      <c r="E42" t="s">
        <v>197</v>
      </c>
      <c r="F42" t="s">
        <v>333</v>
      </c>
      <c r="G42">
        <v>4</v>
      </c>
      <c r="H42">
        <v>0</v>
      </c>
      <c r="I42">
        <v>0</v>
      </c>
      <c r="J42">
        <v>0</v>
      </c>
      <c r="K42">
        <v>0</v>
      </c>
      <c r="L42">
        <v>0</v>
      </c>
      <c r="M42" s="1">
        <v>2138</v>
      </c>
      <c r="N42">
        <v>0</v>
      </c>
      <c r="O42">
        <v>0</v>
      </c>
      <c r="P42" t="s">
        <v>240</v>
      </c>
      <c r="Q42" t="s">
        <v>240</v>
      </c>
      <c r="R42" t="s">
        <v>240</v>
      </c>
    </row>
    <row r="43" spans="2:18" x14ac:dyDescent="0.45">
      <c r="B43">
        <v>0</v>
      </c>
      <c r="C43">
        <v>0</v>
      </c>
      <c r="D43" t="s">
        <v>132</v>
      </c>
      <c r="E43" t="s">
        <v>334</v>
      </c>
      <c r="F43" t="s">
        <v>335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 s="1">
        <v>1766</v>
      </c>
      <c r="N43">
        <v>0</v>
      </c>
      <c r="O43" t="s">
        <v>36</v>
      </c>
      <c r="P43" t="s">
        <v>240</v>
      </c>
      <c r="Q43" t="s">
        <v>240</v>
      </c>
      <c r="R43" t="s">
        <v>240</v>
      </c>
    </row>
    <row r="44" spans="2:18" x14ac:dyDescent="0.45">
      <c r="B44">
        <v>0</v>
      </c>
      <c r="C44">
        <v>0</v>
      </c>
      <c r="D44" t="s">
        <v>132</v>
      </c>
      <c r="E44" t="s">
        <v>234</v>
      </c>
      <c r="F44" t="s">
        <v>235</v>
      </c>
      <c r="G44">
        <v>8</v>
      </c>
      <c r="H44">
        <v>0</v>
      </c>
      <c r="I44">
        <v>0</v>
      </c>
      <c r="J44">
        <v>0</v>
      </c>
      <c r="K44">
        <v>0</v>
      </c>
      <c r="L44">
        <v>0</v>
      </c>
      <c r="M44" s="1">
        <v>1667</v>
      </c>
      <c r="N44">
        <v>0</v>
      </c>
      <c r="O44" t="s">
        <v>336</v>
      </c>
      <c r="P44" t="s">
        <v>240</v>
      </c>
      <c r="Q44" t="s">
        <v>240</v>
      </c>
      <c r="R44" t="s">
        <v>240</v>
      </c>
    </row>
    <row r="45" spans="2:18" x14ac:dyDescent="0.45">
      <c r="B45">
        <v>0</v>
      </c>
      <c r="C45">
        <v>0</v>
      </c>
      <c r="D45" t="s">
        <v>132</v>
      </c>
      <c r="E45" t="s">
        <v>337</v>
      </c>
      <c r="F45" t="s">
        <v>338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 s="1">
        <v>1658</v>
      </c>
      <c r="N45">
        <v>0</v>
      </c>
      <c r="O45" t="s">
        <v>36</v>
      </c>
      <c r="P45" t="s">
        <v>240</v>
      </c>
      <c r="Q45" t="s">
        <v>240</v>
      </c>
      <c r="R45" t="s">
        <v>240</v>
      </c>
    </row>
    <row r="46" spans="2:18" x14ac:dyDescent="0.45">
      <c r="B46">
        <v>0</v>
      </c>
      <c r="C46">
        <v>0</v>
      </c>
      <c r="D46" t="s">
        <v>132</v>
      </c>
      <c r="E46" t="s">
        <v>339</v>
      </c>
      <c r="F46" t="s">
        <v>340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 s="1">
        <v>1535</v>
      </c>
      <c r="N46">
        <v>0</v>
      </c>
      <c r="O46" t="s">
        <v>36</v>
      </c>
      <c r="P46" t="s">
        <v>240</v>
      </c>
      <c r="Q46" t="s">
        <v>240</v>
      </c>
      <c r="R46" t="s">
        <v>240</v>
      </c>
    </row>
    <row r="47" spans="2:18" x14ac:dyDescent="0.45">
      <c r="B47">
        <v>0</v>
      </c>
      <c r="C47">
        <v>0</v>
      </c>
      <c r="D47" t="s">
        <v>132</v>
      </c>
      <c r="E47" t="s">
        <v>341</v>
      </c>
      <c r="F47" t="s">
        <v>342</v>
      </c>
      <c r="G47">
        <v>9</v>
      </c>
      <c r="H47">
        <v>0</v>
      </c>
      <c r="I47">
        <v>0</v>
      </c>
      <c r="J47">
        <v>0</v>
      </c>
      <c r="K47">
        <v>0</v>
      </c>
      <c r="L47">
        <v>0</v>
      </c>
      <c r="M47" s="1">
        <v>1229</v>
      </c>
      <c r="N47">
        <v>0</v>
      </c>
      <c r="O47" t="s">
        <v>36</v>
      </c>
      <c r="P47" t="s">
        <v>240</v>
      </c>
      <c r="Q47" t="s">
        <v>240</v>
      </c>
      <c r="R47" t="s">
        <v>240</v>
      </c>
    </row>
    <row r="48" spans="2:18" x14ac:dyDescent="0.45">
      <c r="B48">
        <v>0</v>
      </c>
      <c r="C48">
        <v>0</v>
      </c>
      <c r="D48" t="s">
        <v>132</v>
      </c>
      <c r="E48" t="s">
        <v>281</v>
      </c>
      <c r="F48" t="s">
        <v>343</v>
      </c>
      <c r="G48">
        <v>6</v>
      </c>
      <c r="H48">
        <v>0</v>
      </c>
      <c r="I48">
        <v>0</v>
      </c>
      <c r="J48">
        <v>0</v>
      </c>
      <c r="K48">
        <v>0</v>
      </c>
      <c r="L48">
        <v>0</v>
      </c>
      <c r="M48" s="1">
        <v>1130</v>
      </c>
      <c r="N48">
        <v>0</v>
      </c>
      <c r="O48">
        <v>0</v>
      </c>
      <c r="P48" t="s">
        <v>240</v>
      </c>
      <c r="Q48" t="s">
        <v>240</v>
      </c>
      <c r="R48" t="s">
        <v>240</v>
      </c>
    </row>
    <row r="49" spans="2:18" x14ac:dyDescent="0.45">
      <c r="B49">
        <v>0</v>
      </c>
      <c r="C49">
        <v>0</v>
      </c>
      <c r="D49" t="s">
        <v>132</v>
      </c>
      <c r="E49" t="s">
        <v>344</v>
      </c>
      <c r="F49" t="s">
        <v>345</v>
      </c>
      <c r="G49">
        <v>7</v>
      </c>
      <c r="H49">
        <v>0</v>
      </c>
      <c r="I49">
        <v>0</v>
      </c>
      <c r="J49">
        <v>0</v>
      </c>
      <c r="K49">
        <v>0</v>
      </c>
      <c r="L49">
        <v>0</v>
      </c>
      <c r="M49" s="1">
        <v>1114</v>
      </c>
      <c r="N49">
        <v>0</v>
      </c>
      <c r="O49">
        <v>0</v>
      </c>
      <c r="P49" t="s">
        <v>240</v>
      </c>
      <c r="Q49" t="s">
        <v>240</v>
      </c>
      <c r="R49" t="s">
        <v>240</v>
      </c>
    </row>
    <row r="50" spans="2:18" x14ac:dyDescent="0.45">
      <c r="B50">
        <v>0</v>
      </c>
      <c r="C50">
        <v>0</v>
      </c>
      <c r="D50" t="s">
        <v>132</v>
      </c>
      <c r="E50" t="s">
        <v>346</v>
      </c>
      <c r="F50" t="s">
        <v>347</v>
      </c>
      <c r="G50">
        <v>5</v>
      </c>
      <c r="H50">
        <v>0</v>
      </c>
      <c r="I50">
        <v>0</v>
      </c>
      <c r="J50">
        <v>0</v>
      </c>
      <c r="K50">
        <v>0</v>
      </c>
      <c r="L50">
        <v>0</v>
      </c>
      <c r="M50" s="1">
        <v>1102</v>
      </c>
      <c r="N50">
        <v>0</v>
      </c>
      <c r="O50" t="s">
        <v>36</v>
      </c>
      <c r="P50" t="s">
        <v>240</v>
      </c>
      <c r="Q50" t="s">
        <v>240</v>
      </c>
      <c r="R50" t="s">
        <v>240</v>
      </c>
    </row>
    <row r="51" spans="2:18" x14ac:dyDescent="0.45">
      <c r="B51">
        <v>0</v>
      </c>
      <c r="C51">
        <v>0</v>
      </c>
      <c r="D51" t="s">
        <v>132</v>
      </c>
      <c r="E51" t="s">
        <v>348</v>
      </c>
      <c r="F51" t="s">
        <v>349</v>
      </c>
      <c r="G51">
        <v>3</v>
      </c>
      <c r="H51">
        <v>0</v>
      </c>
      <c r="I51">
        <v>0</v>
      </c>
      <c r="J51">
        <v>0</v>
      </c>
      <c r="K51">
        <v>0</v>
      </c>
      <c r="L51">
        <v>0</v>
      </c>
      <c r="M51" s="1">
        <v>1029</v>
      </c>
      <c r="N51">
        <v>0</v>
      </c>
      <c r="O51" t="s">
        <v>36</v>
      </c>
      <c r="P51" t="s">
        <v>240</v>
      </c>
      <c r="Q51" t="s">
        <v>240</v>
      </c>
      <c r="R51" t="s">
        <v>240</v>
      </c>
    </row>
    <row r="52" spans="2:18" x14ac:dyDescent="0.45">
      <c r="B52">
        <v>0</v>
      </c>
      <c r="C52">
        <v>0</v>
      </c>
      <c r="D52" t="s">
        <v>132</v>
      </c>
      <c r="E52" t="s">
        <v>350</v>
      </c>
      <c r="F52" t="s">
        <v>351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992</v>
      </c>
      <c r="N52">
        <v>0</v>
      </c>
      <c r="O52" t="s">
        <v>36</v>
      </c>
      <c r="P52" t="s">
        <v>240</v>
      </c>
      <c r="Q52" t="s">
        <v>240</v>
      </c>
      <c r="R52" t="s">
        <v>240</v>
      </c>
    </row>
    <row r="53" spans="2:18" x14ac:dyDescent="0.45">
      <c r="B53">
        <v>0</v>
      </c>
      <c r="C53">
        <v>0</v>
      </c>
      <c r="D53" t="s">
        <v>132</v>
      </c>
      <c r="E53" t="s">
        <v>352</v>
      </c>
      <c r="F53" t="s">
        <v>353</v>
      </c>
      <c r="G53">
        <v>4</v>
      </c>
      <c r="H53">
        <v>0</v>
      </c>
      <c r="I53">
        <v>0</v>
      </c>
      <c r="J53">
        <v>0</v>
      </c>
      <c r="K53">
        <v>0</v>
      </c>
      <c r="L53">
        <v>0</v>
      </c>
      <c r="M53">
        <v>981</v>
      </c>
      <c r="N53">
        <v>0</v>
      </c>
      <c r="O53" t="s">
        <v>36</v>
      </c>
      <c r="P53" t="s">
        <v>240</v>
      </c>
      <c r="Q53" t="s">
        <v>240</v>
      </c>
      <c r="R53" t="s">
        <v>240</v>
      </c>
    </row>
    <row r="54" spans="2:18" x14ac:dyDescent="0.45">
      <c r="B54">
        <v>0</v>
      </c>
      <c r="C54">
        <v>0</v>
      </c>
      <c r="D54" t="s">
        <v>132</v>
      </c>
      <c r="E54" t="s">
        <v>222</v>
      </c>
      <c r="F54" t="s">
        <v>223</v>
      </c>
      <c r="G54">
        <v>4</v>
      </c>
      <c r="H54">
        <v>0</v>
      </c>
      <c r="I54">
        <v>0</v>
      </c>
      <c r="J54">
        <v>0</v>
      </c>
      <c r="K54">
        <v>0</v>
      </c>
      <c r="L54">
        <v>0</v>
      </c>
      <c r="M54">
        <v>957</v>
      </c>
      <c r="N54">
        <v>0</v>
      </c>
      <c r="O54" t="s">
        <v>36</v>
      </c>
      <c r="P54" t="s">
        <v>240</v>
      </c>
      <c r="Q54" t="s">
        <v>240</v>
      </c>
      <c r="R54" t="s">
        <v>240</v>
      </c>
    </row>
    <row r="55" spans="2:18" x14ac:dyDescent="0.45">
      <c r="B55">
        <v>0</v>
      </c>
      <c r="C55">
        <v>0</v>
      </c>
      <c r="D55" t="s">
        <v>132</v>
      </c>
      <c r="E55" t="s">
        <v>354</v>
      </c>
      <c r="F55" t="s">
        <v>355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903</v>
      </c>
      <c r="N55">
        <v>0</v>
      </c>
      <c r="O55" t="s">
        <v>36</v>
      </c>
      <c r="P55" t="s">
        <v>240</v>
      </c>
      <c r="Q55" t="s">
        <v>240</v>
      </c>
      <c r="R55" t="s">
        <v>240</v>
      </c>
    </row>
    <row r="56" spans="2:18" x14ac:dyDescent="0.45">
      <c r="B56">
        <v>0</v>
      </c>
      <c r="C56">
        <v>0</v>
      </c>
      <c r="D56" t="s">
        <v>132</v>
      </c>
      <c r="E56" t="s">
        <v>356</v>
      </c>
      <c r="F56" t="s">
        <v>189</v>
      </c>
      <c r="G56">
        <v>10</v>
      </c>
      <c r="H56">
        <v>0</v>
      </c>
      <c r="I56">
        <v>0</v>
      </c>
      <c r="J56">
        <v>0</v>
      </c>
      <c r="K56">
        <v>0</v>
      </c>
      <c r="L56">
        <v>0</v>
      </c>
      <c r="M56">
        <v>899</v>
      </c>
      <c r="N56">
        <v>0</v>
      </c>
      <c r="O56" t="s">
        <v>36</v>
      </c>
      <c r="P56" t="s">
        <v>240</v>
      </c>
      <c r="Q56" t="s">
        <v>240</v>
      </c>
      <c r="R56" t="s">
        <v>240</v>
      </c>
    </row>
    <row r="57" spans="2:18" x14ac:dyDescent="0.45">
      <c r="B57">
        <v>0</v>
      </c>
      <c r="C57">
        <v>0</v>
      </c>
      <c r="D57" t="s">
        <v>132</v>
      </c>
      <c r="E57" t="s">
        <v>357</v>
      </c>
      <c r="F57" t="s">
        <v>358</v>
      </c>
      <c r="G57">
        <v>4</v>
      </c>
      <c r="H57">
        <v>0</v>
      </c>
      <c r="I57">
        <v>0</v>
      </c>
      <c r="J57">
        <v>0</v>
      </c>
      <c r="K57">
        <v>0</v>
      </c>
      <c r="L57">
        <v>0</v>
      </c>
      <c r="M57">
        <v>875</v>
      </c>
      <c r="N57">
        <v>0</v>
      </c>
      <c r="O57">
        <v>0</v>
      </c>
      <c r="P57" t="s">
        <v>240</v>
      </c>
      <c r="Q57" t="s">
        <v>240</v>
      </c>
      <c r="R57" t="s">
        <v>240</v>
      </c>
    </row>
    <row r="58" spans="2:18" x14ac:dyDescent="0.45">
      <c r="B58">
        <v>0</v>
      </c>
      <c r="C58">
        <v>0</v>
      </c>
      <c r="D58" t="s">
        <v>132</v>
      </c>
      <c r="E58" t="s">
        <v>359</v>
      </c>
      <c r="F58" t="s">
        <v>360</v>
      </c>
      <c r="G58">
        <v>4</v>
      </c>
      <c r="H58">
        <v>0</v>
      </c>
      <c r="I58">
        <v>0</v>
      </c>
      <c r="J58">
        <v>0</v>
      </c>
      <c r="K58">
        <v>0</v>
      </c>
      <c r="L58">
        <v>0</v>
      </c>
      <c r="M58">
        <v>852</v>
      </c>
      <c r="N58">
        <v>0</v>
      </c>
      <c r="O58">
        <v>0</v>
      </c>
      <c r="P58" t="s">
        <v>240</v>
      </c>
      <c r="Q58" t="s">
        <v>240</v>
      </c>
      <c r="R58" t="s">
        <v>240</v>
      </c>
    </row>
    <row r="59" spans="2:18" x14ac:dyDescent="0.45">
      <c r="B59">
        <v>0</v>
      </c>
      <c r="C59">
        <v>0</v>
      </c>
      <c r="D59" t="s">
        <v>132</v>
      </c>
      <c r="E59" t="s">
        <v>361</v>
      </c>
      <c r="F59" t="s">
        <v>362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849</v>
      </c>
      <c r="N59">
        <v>0</v>
      </c>
      <c r="O59" t="s">
        <v>36</v>
      </c>
      <c r="P59" t="s">
        <v>240</v>
      </c>
      <c r="Q59" t="s">
        <v>240</v>
      </c>
      <c r="R59" t="s">
        <v>240</v>
      </c>
    </row>
    <row r="60" spans="2:18" x14ac:dyDescent="0.45">
      <c r="B60">
        <v>0</v>
      </c>
      <c r="C60">
        <v>0</v>
      </c>
      <c r="D60" t="s">
        <v>132</v>
      </c>
      <c r="E60" t="s">
        <v>363</v>
      </c>
      <c r="F60" t="s">
        <v>364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768</v>
      </c>
      <c r="N60">
        <v>0</v>
      </c>
      <c r="O60" t="s">
        <v>36</v>
      </c>
      <c r="P60" t="s">
        <v>240</v>
      </c>
      <c r="Q60" t="s">
        <v>240</v>
      </c>
      <c r="R60" t="s">
        <v>240</v>
      </c>
    </row>
    <row r="61" spans="2:18" x14ac:dyDescent="0.45">
      <c r="B61">
        <v>0</v>
      </c>
      <c r="C61">
        <v>0</v>
      </c>
      <c r="D61" t="s">
        <v>132</v>
      </c>
      <c r="E61" t="s">
        <v>196</v>
      </c>
      <c r="F61" t="s">
        <v>128</v>
      </c>
      <c r="G61">
        <v>4</v>
      </c>
      <c r="H61">
        <v>0</v>
      </c>
      <c r="I61">
        <v>0</v>
      </c>
      <c r="J61">
        <v>0</v>
      </c>
      <c r="K61">
        <v>0</v>
      </c>
      <c r="L61">
        <v>0</v>
      </c>
      <c r="M61">
        <v>736</v>
      </c>
      <c r="N61">
        <v>0</v>
      </c>
      <c r="O61">
        <v>0</v>
      </c>
      <c r="P61" t="s">
        <v>240</v>
      </c>
      <c r="Q61" t="s">
        <v>240</v>
      </c>
      <c r="R61" t="s">
        <v>240</v>
      </c>
    </row>
    <row r="62" spans="2:18" x14ac:dyDescent="0.45">
      <c r="B62">
        <v>0</v>
      </c>
      <c r="C62">
        <v>0</v>
      </c>
      <c r="D62" t="s">
        <v>132</v>
      </c>
      <c r="E62" t="s">
        <v>289</v>
      </c>
      <c r="F62" t="s">
        <v>365</v>
      </c>
      <c r="G62">
        <v>2</v>
      </c>
      <c r="H62">
        <v>0</v>
      </c>
      <c r="I62">
        <v>0</v>
      </c>
      <c r="J62">
        <v>0</v>
      </c>
      <c r="K62">
        <v>0</v>
      </c>
      <c r="L62">
        <v>0</v>
      </c>
      <c r="M62">
        <v>695</v>
      </c>
      <c r="N62">
        <v>0</v>
      </c>
      <c r="O62" t="s">
        <v>36</v>
      </c>
      <c r="P62" t="s">
        <v>240</v>
      </c>
      <c r="Q62" t="s">
        <v>240</v>
      </c>
      <c r="R62" t="s">
        <v>240</v>
      </c>
    </row>
    <row r="63" spans="2:18" x14ac:dyDescent="0.45">
      <c r="B63">
        <v>0</v>
      </c>
      <c r="C63">
        <v>0</v>
      </c>
      <c r="D63" t="s">
        <v>132</v>
      </c>
      <c r="E63" t="s">
        <v>366</v>
      </c>
      <c r="F63" t="s">
        <v>367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637</v>
      </c>
      <c r="N63">
        <v>0</v>
      </c>
      <c r="O63" t="s">
        <v>36</v>
      </c>
      <c r="P63" t="s">
        <v>240</v>
      </c>
      <c r="Q63" t="s">
        <v>240</v>
      </c>
      <c r="R63" t="s">
        <v>240</v>
      </c>
    </row>
    <row r="64" spans="2:18" x14ac:dyDescent="0.45">
      <c r="B64">
        <v>0</v>
      </c>
      <c r="C64">
        <v>0</v>
      </c>
      <c r="D64" t="s">
        <v>132</v>
      </c>
      <c r="E64" t="s">
        <v>368</v>
      </c>
      <c r="F64" t="s">
        <v>369</v>
      </c>
      <c r="G64">
        <v>2</v>
      </c>
      <c r="H64">
        <v>0</v>
      </c>
      <c r="I64">
        <v>0</v>
      </c>
      <c r="J64">
        <v>0</v>
      </c>
      <c r="K64">
        <v>0</v>
      </c>
      <c r="L64">
        <v>0</v>
      </c>
      <c r="M64">
        <v>627</v>
      </c>
      <c r="N64">
        <v>0</v>
      </c>
      <c r="O64" t="s">
        <v>36</v>
      </c>
      <c r="P64" t="s">
        <v>240</v>
      </c>
      <c r="Q64" t="s">
        <v>240</v>
      </c>
      <c r="R64" t="s">
        <v>240</v>
      </c>
    </row>
    <row r="65" spans="2:18" x14ac:dyDescent="0.45">
      <c r="B65">
        <v>0</v>
      </c>
      <c r="C65">
        <v>0</v>
      </c>
      <c r="D65" t="s">
        <v>132</v>
      </c>
      <c r="E65" t="s">
        <v>370</v>
      </c>
      <c r="F65" t="s">
        <v>371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603</v>
      </c>
      <c r="N65">
        <v>0</v>
      </c>
      <c r="O65" t="s">
        <v>36</v>
      </c>
      <c r="P65" t="s">
        <v>240</v>
      </c>
      <c r="Q65" t="s">
        <v>240</v>
      </c>
      <c r="R65" t="s">
        <v>240</v>
      </c>
    </row>
    <row r="66" spans="2:18" x14ac:dyDescent="0.45">
      <c r="B66">
        <v>0</v>
      </c>
      <c r="C66">
        <v>0</v>
      </c>
      <c r="D66" t="s">
        <v>132</v>
      </c>
      <c r="E66" t="s">
        <v>372</v>
      </c>
      <c r="F66" t="s">
        <v>373</v>
      </c>
      <c r="G66">
        <v>5</v>
      </c>
      <c r="H66">
        <v>0</v>
      </c>
      <c r="I66">
        <v>0</v>
      </c>
      <c r="J66">
        <v>0</v>
      </c>
      <c r="K66">
        <v>0</v>
      </c>
      <c r="L66">
        <v>0</v>
      </c>
      <c r="M66">
        <v>578</v>
      </c>
      <c r="N66">
        <v>0</v>
      </c>
      <c r="O66" t="s">
        <v>36</v>
      </c>
      <c r="P66" t="s">
        <v>240</v>
      </c>
      <c r="Q66" t="s">
        <v>240</v>
      </c>
      <c r="R66" t="s">
        <v>240</v>
      </c>
    </row>
    <row r="67" spans="2:18" x14ac:dyDescent="0.45">
      <c r="B67">
        <v>0</v>
      </c>
      <c r="C67">
        <v>0</v>
      </c>
      <c r="D67" t="s">
        <v>132</v>
      </c>
      <c r="E67" t="s">
        <v>374</v>
      </c>
      <c r="F67" t="s">
        <v>375</v>
      </c>
      <c r="G67">
        <v>4</v>
      </c>
      <c r="H67">
        <v>0</v>
      </c>
      <c r="I67">
        <v>0</v>
      </c>
      <c r="J67">
        <v>0</v>
      </c>
      <c r="K67">
        <v>0</v>
      </c>
      <c r="L67">
        <v>0</v>
      </c>
      <c r="M67">
        <v>561</v>
      </c>
      <c r="N67">
        <v>0</v>
      </c>
      <c r="O67" t="s">
        <v>36</v>
      </c>
      <c r="P67" t="s">
        <v>240</v>
      </c>
      <c r="Q67" t="s">
        <v>240</v>
      </c>
      <c r="R67" t="s">
        <v>240</v>
      </c>
    </row>
    <row r="68" spans="2:18" x14ac:dyDescent="0.45">
      <c r="B68">
        <v>0</v>
      </c>
      <c r="C68">
        <v>0</v>
      </c>
      <c r="D68" t="s">
        <v>132</v>
      </c>
      <c r="E68" t="s">
        <v>376</v>
      </c>
      <c r="F68" t="s">
        <v>377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538</v>
      </c>
      <c r="N68">
        <v>0</v>
      </c>
      <c r="O68" t="s">
        <v>36</v>
      </c>
      <c r="P68" t="s">
        <v>240</v>
      </c>
      <c r="Q68" t="s">
        <v>240</v>
      </c>
      <c r="R68" t="s">
        <v>240</v>
      </c>
    </row>
    <row r="69" spans="2:18" x14ac:dyDescent="0.45">
      <c r="B69">
        <v>0</v>
      </c>
      <c r="C69">
        <v>0</v>
      </c>
      <c r="D69" t="s">
        <v>132</v>
      </c>
      <c r="E69" t="s">
        <v>378</v>
      </c>
      <c r="F69" t="s">
        <v>379</v>
      </c>
      <c r="G69">
        <v>7</v>
      </c>
      <c r="H69">
        <v>0</v>
      </c>
      <c r="I69">
        <v>0</v>
      </c>
      <c r="J69">
        <v>0</v>
      </c>
      <c r="K69">
        <v>0</v>
      </c>
      <c r="L69">
        <v>0</v>
      </c>
      <c r="M69">
        <v>526</v>
      </c>
      <c r="N69">
        <v>0</v>
      </c>
      <c r="O69" t="s">
        <v>36</v>
      </c>
      <c r="P69" t="s">
        <v>240</v>
      </c>
      <c r="Q69" t="s">
        <v>240</v>
      </c>
      <c r="R69" t="s">
        <v>240</v>
      </c>
    </row>
    <row r="70" spans="2:18" x14ac:dyDescent="0.45">
      <c r="B70">
        <v>0</v>
      </c>
      <c r="C70">
        <v>0</v>
      </c>
      <c r="D70" t="s">
        <v>132</v>
      </c>
      <c r="E70" t="s">
        <v>380</v>
      </c>
      <c r="F70" t="s">
        <v>381</v>
      </c>
      <c r="G70">
        <v>5</v>
      </c>
      <c r="H70">
        <v>0</v>
      </c>
      <c r="I70">
        <v>0</v>
      </c>
      <c r="J70">
        <v>0</v>
      </c>
      <c r="K70">
        <v>0</v>
      </c>
      <c r="L70">
        <v>0</v>
      </c>
      <c r="M70">
        <v>522</v>
      </c>
      <c r="N70">
        <v>0</v>
      </c>
      <c r="O70" t="s">
        <v>36</v>
      </c>
      <c r="P70" t="s">
        <v>240</v>
      </c>
      <c r="Q70" t="s">
        <v>240</v>
      </c>
      <c r="R70" t="s">
        <v>240</v>
      </c>
    </row>
    <row r="71" spans="2:18" x14ac:dyDescent="0.45">
      <c r="B71">
        <v>0</v>
      </c>
      <c r="C71">
        <v>0</v>
      </c>
      <c r="D71" t="s">
        <v>132</v>
      </c>
      <c r="E71" t="s">
        <v>382</v>
      </c>
      <c r="F71" t="s">
        <v>383</v>
      </c>
      <c r="G71">
        <v>5</v>
      </c>
      <c r="H71">
        <v>0</v>
      </c>
      <c r="I71">
        <v>0</v>
      </c>
      <c r="J71">
        <v>0</v>
      </c>
      <c r="K71">
        <v>0</v>
      </c>
      <c r="L71">
        <v>0</v>
      </c>
      <c r="M71">
        <v>506</v>
      </c>
      <c r="N71">
        <v>0</v>
      </c>
      <c r="O71" t="s">
        <v>36</v>
      </c>
      <c r="P71" t="s">
        <v>240</v>
      </c>
      <c r="Q71" t="s">
        <v>240</v>
      </c>
      <c r="R71" t="s">
        <v>240</v>
      </c>
    </row>
    <row r="72" spans="2:18" x14ac:dyDescent="0.45">
      <c r="B72">
        <v>0</v>
      </c>
      <c r="C72">
        <v>0</v>
      </c>
      <c r="D72" t="s">
        <v>132</v>
      </c>
      <c r="E72" t="s">
        <v>232</v>
      </c>
      <c r="F72" t="s">
        <v>287</v>
      </c>
      <c r="G72">
        <v>7</v>
      </c>
      <c r="H72">
        <v>0</v>
      </c>
      <c r="I72">
        <v>0</v>
      </c>
      <c r="J72">
        <v>0</v>
      </c>
      <c r="K72">
        <v>0</v>
      </c>
      <c r="L72">
        <v>0</v>
      </c>
      <c r="M72">
        <v>488</v>
      </c>
      <c r="N72">
        <v>0</v>
      </c>
      <c r="O72">
        <v>0</v>
      </c>
      <c r="P72" t="s">
        <v>240</v>
      </c>
      <c r="Q72" t="s">
        <v>240</v>
      </c>
      <c r="R72" t="s">
        <v>240</v>
      </c>
    </row>
    <row r="73" spans="2:18" x14ac:dyDescent="0.45">
      <c r="B73">
        <v>0</v>
      </c>
      <c r="C73">
        <v>0</v>
      </c>
      <c r="D73" t="s">
        <v>132</v>
      </c>
      <c r="E73" t="s">
        <v>384</v>
      </c>
      <c r="F73" t="s">
        <v>385</v>
      </c>
      <c r="G73">
        <v>3</v>
      </c>
      <c r="H73">
        <v>0</v>
      </c>
      <c r="I73">
        <v>0</v>
      </c>
      <c r="J73">
        <v>0</v>
      </c>
      <c r="K73">
        <v>0</v>
      </c>
      <c r="L73">
        <v>0</v>
      </c>
      <c r="M73">
        <v>455</v>
      </c>
      <c r="N73">
        <v>0</v>
      </c>
      <c r="O73" t="s">
        <v>36</v>
      </c>
      <c r="P73" t="s">
        <v>240</v>
      </c>
      <c r="Q73" t="s">
        <v>240</v>
      </c>
      <c r="R73" t="s">
        <v>240</v>
      </c>
    </row>
    <row r="74" spans="2:18" x14ac:dyDescent="0.45">
      <c r="B74">
        <v>0</v>
      </c>
      <c r="C74">
        <v>0</v>
      </c>
      <c r="D74" t="s">
        <v>132</v>
      </c>
      <c r="E74" t="s">
        <v>386</v>
      </c>
      <c r="F74" t="s">
        <v>387</v>
      </c>
      <c r="G74">
        <v>3</v>
      </c>
      <c r="H74">
        <v>0</v>
      </c>
      <c r="I74">
        <v>0</v>
      </c>
      <c r="J74">
        <v>0</v>
      </c>
      <c r="K74">
        <v>0</v>
      </c>
      <c r="L74">
        <v>0</v>
      </c>
      <c r="M74">
        <v>418</v>
      </c>
      <c r="N74">
        <v>0</v>
      </c>
      <c r="O74" t="s">
        <v>36</v>
      </c>
      <c r="P74" t="s">
        <v>240</v>
      </c>
      <c r="Q74" t="s">
        <v>240</v>
      </c>
      <c r="R74" t="s">
        <v>240</v>
      </c>
    </row>
    <row r="75" spans="2:18" x14ac:dyDescent="0.45">
      <c r="B75">
        <v>0</v>
      </c>
      <c r="C75">
        <v>0</v>
      </c>
      <c r="D75" t="s">
        <v>132</v>
      </c>
      <c r="E75" t="s">
        <v>388</v>
      </c>
      <c r="F75" t="s">
        <v>189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407</v>
      </c>
      <c r="N75">
        <v>0</v>
      </c>
      <c r="O75" t="s">
        <v>36</v>
      </c>
      <c r="P75" t="s">
        <v>240</v>
      </c>
      <c r="Q75" t="s">
        <v>240</v>
      </c>
      <c r="R75" t="s">
        <v>240</v>
      </c>
    </row>
    <row r="76" spans="2:18" x14ac:dyDescent="0.45">
      <c r="B76">
        <v>0</v>
      </c>
      <c r="C76">
        <v>0</v>
      </c>
      <c r="D76" t="s">
        <v>132</v>
      </c>
      <c r="E76" t="s">
        <v>389</v>
      </c>
      <c r="F76" t="s">
        <v>30</v>
      </c>
      <c r="H76">
        <v>0</v>
      </c>
      <c r="I76">
        <v>0</v>
      </c>
      <c r="J76">
        <v>0</v>
      </c>
      <c r="K76">
        <v>0</v>
      </c>
      <c r="L76">
        <v>0</v>
      </c>
      <c r="M76" s="1">
        <v>7958</v>
      </c>
      <c r="N76">
        <v>0</v>
      </c>
      <c r="O76" t="s">
        <v>30</v>
      </c>
      <c r="P76" t="s">
        <v>240</v>
      </c>
      <c r="Q76" t="s">
        <v>240</v>
      </c>
      <c r="R76" t="s">
        <v>240</v>
      </c>
    </row>
    <row r="77" spans="2:18" x14ac:dyDescent="0.45">
      <c r="G77" s="1"/>
      <c r="M77" s="1"/>
    </row>
  </sheetData>
  <conditionalFormatting sqref="B8:C76">
    <cfRule type="colorScale" priority="3">
      <colorScale>
        <cfvo type="min"/>
        <cfvo type="max"/>
        <color rgb="FFFCFCFF"/>
        <color rgb="FF63BE7B"/>
      </colorScale>
    </cfRule>
  </conditionalFormatting>
  <conditionalFormatting sqref="T10:T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5C5C5-1876-4BF7-A730-548068A978DE}">
  <dimension ref="B5:T66"/>
  <sheetViews>
    <sheetView workbookViewId="0">
      <selection activeCell="S10" sqref="S10:T20"/>
    </sheetView>
  </sheetViews>
  <sheetFormatPr defaultRowHeight="14.25" x14ac:dyDescent="0.45"/>
  <cols>
    <col min="13" max="13" width="13.46484375" customWidth="1"/>
    <col min="20" max="20" width="14.33203125" customWidth="1"/>
  </cols>
  <sheetData>
    <row r="5" spans="2:20" x14ac:dyDescent="0.45">
      <c r="B5">
        <f>SUMPRODUCT(B8:B76,$M$8:$M$76)</f>
        <v>675107.5</v>
      </c>
      <c r="C5">
        <f>SUMPRODUCT(C8:C76,$M$8:$M$76)</f>
        <v>269099.5</v>
      </c>
    </row>
    <row r="6" spans="2:20" x14ac:dyDescent="0.45">
      <c r="E6" t="s">
        <v>152</v>
      </c>
      <c r="F6" t="s">
        <v>1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151</v>
      </c>
      <c r="N6" t="s">
        <v>151</v>
      </c>
      <c r="O6" t="s">
        <v>151</v>
      </c>
    </row>
    <row r="7" spans="2:20" x14ac:dyDescent="0.45">
      <c r="B7" t="s">
        <v>148</v>
      </c>
      <c r="C7" t="s">
        <v>149</v>
      </c>
      <c r="E7" t="s">
        <v>152</v>
      </c>
      <c r="F7" t="s">
        <v>1</v>
      </c>
      <c r="G7" t="s">
        <v>390</v>
      </c>
      <c r="H7" t="s">
        <v>391</v>
      </c>
      <c r="I7" t="s">
        <v>242</v>
      </c>
      <c r="J7" t="s">
        <v>154</v>
      </c>
      <c r="K7" t="s">
        <v>155</v>
      </c>
      <c r="L7" t="s">
        <v>6</v>
      </c>
      <c r="M7" t="s">
        <v>392</v>
      </c>
      <c r="N7" t="s">
        <v>393</v>
      </c>
      <c r="O7" t="s">
        <v>394</v>
      </c>
    </row>
    <row r="8" spans="2:20" x14ac:dyDescent="0.45">
      <c r="B8">
        <v>0</v>
      </c>
      <c r="C8">
        <v>0</v>
      </c>
      <c r="D8" t="s">
        <v>15</v>
      </c>
      <c r="E8" t="s">
        <v>395</v>
      </c>
      <c r="F8" t="s">
        <v>298</v>
      </c>
      <c r="G8">
        <v>631</v>
      </c>
      <c r="H8">
        <v>306</v>
      </c>
      <c r="I8">
        <v>47.1</v>
      </c>
      <c r="J8">
        <v>100</v>
      </c>
      <c r="K8">
        <v>3</v>
      </c>
      <c r="L8">
        <v>97</v>
      </c>
      <c r="M8" s="1">
        <v>10703754</v>
      </c>
      <c r="N8">
        <v>36.1</v>
      </c>
      <c r="O8">
        <v>3.7</v>
      </c>
    </row>
    <row r="9" spans="2:20" x14ac:dyDescent="0.45">
      <c r="B9">
        <v>0</v>
      </c>
      <c r="C9">
        <v>0</v>
      </c>
      <c r="D9" t="s">
        <v>8</v>
      </c>
      <c r="E9" t="s">
        <v>8</v>
      </c>
      <c r="F9" t="s">
        <v>396</v>
      </c>
      <c r="G9" t="s">
        <v>397</v>
      </c>
      <c r="H9" t="s">
        <v>398</v>
      </c>
      <c r="I9" t="s">
        <v>399</v>
      </c>
      <c r="J9">
        <v>3</v>
      </c>
      <c r="K9">
        <v>94</v>
      </c>
      <c r="L9" t="s">
        <v>400</v>
      </c>
      <c r="M9" s="1">
        <v>8609527</v>
      </c>
      <c r="N9" t="s">
        <v>401</v>
      </c>
      <c r="O9" t="s">
        <v>402</v>
      </c>
    </row>
    <row r="10" spans="2:20" x14ac:dyDescent="0.45">
      <c r="B10">
        <v>0</v>
      </c>
      <c r="C10">
        <v>0</v>
      </c>
      <c r="D10" t="s">
        <v>20</v>
      </c>
      <c r="E10" t="s">
        <v>20</v>
      </c>
      <c r="F10" t="s">
        <v>308</v>
      </c>
      <c r="G10">
        <v>631</v>
      </c>
      <c r="H10">
        <v>57</v>
      </c>
      <c r="I10">
        <v>8.8000000000000007</v>
      </c>
      <c r="J10">
        <v>8</v>
      </c>
      <c r="K10">
        <v>13</v>
      </c>
      <c r="L10" t="s">
        <v>403</v>
      </c>
      <c r="M10" s="1">
        <v>6836824</v>
      </c>
      <c r="N10">
        <v>23</v>
      </c>
      <c r="O10">
        <v>1</v>
      </c>
      <c r="S10" t="s">
        <v>148</v>
      </c>
      <c r="T10">
        <f>B5</f>
        <v>675107.5</v>
      </c>
    </row>
    <row r="11" spans="2:20" x14ac:dyDescent="0.45">
      <c r="B11">
        <v>0</v>
      </c>
      <c r="C11">
        <v>0</v>
      </c>
      <c r="D11" t="s">
        <v>238</v>
      </c>
      <c r="E11" t="s">
        <v>182</v>
      </c>
      <c r="F11" t="s">
        <v>404</v>
      </c>
      <c r="G11">
        <v>558</v>
      </c>
      <c r="H11">
        <v>0</v>
      </c>
      <c r="I11">
        <v>0</v>
      </c>
      <c r="J11">
        <v>0</v>
      </c>
      <c r="K11">
        <v>0</v>
      </c>
      <c r="L11">
        <v>0</v>
      </c>
      <c r="M11" s="1">
        <v>919546</v>
      </c>
      <c r="N11">
        <v>3.1</v>
      </c>
      <c r="O11">
        <v>0.9</v>
      </c>
      <c r="S11" t="s">
        <v>238</v>
      </c>
      <c r="T11" s="6">
        <f>SUMIF($D$8:$D$52,S11,$M$8:$M$52)</f>
        <v>919546</v>
      </c>
    </row>
    <row r="12" spans="2:20" x14ac:dyDescent="0.45">
      <c r="B12">
        <v>1</v>
      </c>
      <c r="C12">
        <v>0</v>
      </c>
      <c r="D12" t="s">
        <v>132</v>
      </c>
      <c r="E12" t="s">
        <v>234</v>
      </c>
      <c r="F12" t="s">
        <v>405</v>
      </c>
      <c r="G12">
        <v>338</v>
      </c>
      <c r="H12">
        <v>0</v>
      </c>
      <c r="I12">
        <v>0</v>
      </c>
      <c r="J12">
        <v>0</v>
      </c>
      <c r="K12">
        <v>0</v>
      </c>
      <c r="L12">
        <v>0</v>
      </c>
      <c r="M12" s="1">
        <v>564331</v>
      </c>
      <c r="N12">
        <v>1.9</v>
      </c>
      <c r="O12">
        <v>1.2</v>
      </c>
      <c r="S12" t="s">
        <v>15</v>
      </c>
      <c r="T12" s="6">
        <f t="shared" ref="T12:T16" si="0">SUMIF($D$8:$D$52,S12,$M$8:$M$52)</f>
        <v>10703754</v>
      </c>
    </row>
    <row r="13" spans="2:20" x14ac:dyDescent="0.45">
      <c r="B13">
        <v>0</v>
      </c>
      <c r="C13">
        <v>0</v>
      </c>
      <c r="D13" t="s">
        <v>142</v>
      </c>
      <c r="E13" t="s">
        <v>142</v>
      </c>
      <c r="F13" t="s">
        <v>65</v>
      </c>
      <c r="G13">
        <v>59</v>
      </c>
      <c r="H13">
        <v>6</v>
      </c>
      <c r="I13">
        <v>0.9</v>
      </c>
      <c r="J13">
        <v>0</v>
      </c>
      <c r="K13">
        <v>0</v>
      </c>
      <c r="L13">
        <v>0</v>
      </c>
      <c r="M13" s="1">
        <v>491386</v>
      </c>
      <c r="N13">
        <v>1.7</v>
      </c>
      <c r="O13">
        <v>0.1</v>
      </c>
      <c r="S13" t="s">
        <v>20</v>
      </c>
      <c r="T13" s="6">
        <f t="shared" si="0"/>
        <v>6836824</v>
      </c>
    </row>
    <row r="14" spans="2:20" x14ac:dyDescent="0.45">
      <c r="B14">
        <v>0</v>
      </c>
      <c r="C14">
        <v>0</v>
      </c>
      <c r="D14" t="s">
        <v>406</v>
      </c>
      <c r="E14" t="s">
        <v>406</v>
      </c>
      <c r="F14" t="s">
        <v>407</v>
      </c>
      <c r="G14">
        <v>310</v>
      </c>
      <c r="H14">
        <v>1</v>
      </c>
      <c r="I14">
        <v>0.2</v>
      </c>
      <c r="J14">
        <v>1</v>
      </c>
      <c r="K14">
        <v>0</v>
      </c>
      <c r="L14">
        <v>1</v>
      </c>
      <c r="M14" s="1">
        <v>265247</v>
      </c>
      <c r="N14">
        <v>0.9</v>
      </c>
      <c r="O14" t="s">
        <v>174</v>
      </c>
      <c r="S14" t="s">
        <v>8</v>
      </c>
      <c r="T14" s="6">
        <f t="shared" si="0"/>
        <v>8632387</v>
      </c>
    </row>
    <row r="15" spans="2:20" x14ac:dyDescent="0.45">
      <c r="B15">
        <v>0</v>
      </c>
      <c r="C15">
        <v>0</v>
      </c>
      <c r="D15" t="s">
        <v>147</v>
      </c>
      <c r="E15" t="s">
        <v>32</v>
      </c>
      <c r="F15" t="s">
        <v>262</v>
      </c>
      <c r="G15">
        <v>17</v>
      </c>
      <c r="H15">
        <v>5</v>
      </c>
      <c r="I15">
        <v>0.8</v>
      </c>
      <c r="J15">
        <v>0</v>
      </c>
      <c r="K15">
        <v>0</v>
      </c>
      <c r="L15">
        <v>0</v>
      </c>
      <c r="M15" s="1">
        <v>171942</v>
      </c>
      <c r="N15">
        <v>0.6</v>
      </c>
      <c r="O15" t="s">
        <v>173</v>
      </c>
      <c r="S15" t="s">
        <v>406</v>
      </c>
      <c r="T15" s="6">
        <f t="shared" si="0"/>
        <v>265247</v>
      </c>
    </row>
    <row r="16" spans="2:20" x14ac:dyDescent="0.45">
      <c r="B16">
        <v>0</v>
      </c>
      <c r="C16">
        <v>0</v>
      </c>
      <c r="D16" t="s">
        <v>147</v>
      </c>
      <c r="E16" t="s">
        <v>171</v>
      </c>
      <c r="F16" t="s">
        <v>312</v>
      </c>
      <c r="G16">
        <v>16</v>
      </c>
      <c r="H16">
        <v>8</v>
      </c>
      <c r="I16">
        <v>1.2</v>
      </c>
      <c r="J16">
        <v>0</v>
      </c>
      <c r="K16">
        <v>1</v>
      </c>
      <c r="L16" t="s">
        <v>258</v>
      </c>
      <c r="M16" s="1">
        <v>168216</v>
      </c>
      <c r="N16">
        <v>0.6</v>
      </c>
      <c r="O16" t="s">
        <v>408</v>
      </c>
      <c r="S16" t="s">
        <v>142</v>
      </c>
      <c r="T16" s="6">
        <f t="shared" si="0"/>
        <v>491386</v>
      </c>
    </row>
    <row r="17" spans="2:20" x14ac:dyDescent="0.45">
      <c r="B17">
        <v>0</v>
      </c>
      <c r="C17">
        <v>1</v>
      </c>
      <c r="D17" t="s">
        <v>132</v>
      </c>
      <c r="E17" t="s">
        <v>37</v>
      </c>
      <c r="F17" t="s">
        <v>409</v>
      </c>
      <c r="G17">
        <v>40</v>
      </c>
      <c r="H17">
        <v>3</v>
      </c>
      <c r="I17">
        <v>0.5</v>
      </c>
      <c r="J17">
        <v>1</v>
      </c>
      <c r="K17">
        <v>0</v>
      </c>
      <c r="L17">
        <v>1</v>
      </c>
      <c r="M17" s="1">
        <v>165394</v>
      </c>
      <c r="N17">
        <v>0.6</v>
      </c>
      <c r="O17" t="s">
        <v>173</v>
      </c>
      <c r="S17" t="s">
        <v>149</v>
      </c>
      <c r="T17" s="6">
        <f>C5</f>
        <v>269099.5</v>
      </c>
    </row>
    <row r="18" spans="2:20" x14ac:dyDescent="0.45">
      <c r="B18">
        <v>0</v>
      </c>
      <c r="C18">
        <v>0</v>
      </c>
      <c r="D18" t="s">
        <v>147</v>
      </c>
      <c r="E18" t="s">
        <v>176</v>
      </c>
      <c r="F18" t="s">
        <v>410</v>
      </c>
      <c r="G18">
        <v>18</v>
      </c>
      <c r="H18">
        <v>3</v>
      </c>
      <c r="I18">
        <v>0.5</v>
      </c>
      <c r="J18">
        <v>0</v>
      </c>
      <c r="K18">
        <v>0</v>
      </c>
      <c r="L18">
        <v>0</v>
      </c>
      <c r="M18" s="1">
        <v>110970</v>
      </c>
      <c r="N18">
        <v>0.4</v>
      </c>
      <c r="O18" t="s">
        <v>173</v>
      </c>
    </row>
    <row r="19" spans="2:20" x14ac:dyDescent="0.45">
      <c r="B19">
        <v>0</v>
      </c>
      <c r="C19">
        <v>0</v>
      </c>
      <c r="D19" t="s">
        <v>147</v>
      </c>
      <c r="E19" t="s">
        <v>411</v>
      </c>
      <c r="F19" t="s">
        <v>412</v>
      </c>
      <c r="G19">
        <v>17</v>
      </c>
      <c r="H19">
        <v>0</v>
      </c>
      <c r="I19">
        <v>0</v>
      </c>
      <c r="J19">
        <v>0</v>
      </c>
      <c r="K19">
        <v>1</v>
      </c>
      <c r="L19" t="s">
        <v>258</v>
      </c>
      <c r="M19" s="1">
        <v>102361</v>
      </c>
      <c r="N19">
        <v>0.3</v>
      </c>
      <c r="O19" t="s">
        <v>173</v>
      </c>
      <c r="S19" t="s">
        <v>147</v>
      </c>
      <c r="T19" s="6">
        <f t="shared" ref="T19" si="1">SUMIF($D$8:$D$52,S19,$M$8:$M$52)</f>
        <v>596251</v>
      </c>
    </row>
    <row r="20" spans="2:20" x14ac:dyDescent="0.45">
      <c r="B20">
        <v>1</v>
      </c>
      <c r="C20">
        <v>0</v>
      </c>
      <c r="D20" t="s">
        <v>132</v>
      </c>
      <c r="E20" t="s">
        <v>202</v>
      </c>
      <c r="F20" t="s">
        <v>91</v>
      </c>
      <c r="G20">
        <v>107</v>
      </c>
      <c r="H20">
        <v>0</v>
      </c>
      <c r="I20">
        <v>0</v>
      </c>
      <c r="J20">
        <v>0</v>
      </c>
      <c r="K20">
        <v>0</v>
      </c>
      <c r="L20">
        <v>0</v>
      </c>
      <c r="M20" s="1">
        <v>64826</v>
      </c>
      <c r="N20">
        <v>0.2</v>
      </c>
      <c r="O20">
        <v>0.2</v>
      </c>
      <c r="T20" s="9">
        <f>SUM(M7:M68)-T19</f>
        <v>28928456</v>
      </c>
    </row>
    <row r="21" spans="2:20" x14ac:dyDescent="0.45">
      <c r="B21">
        <v>0</v>
      </c>
      <c r="C21">
        <v>0</v>
      </c>
      <c r="D21" t="s">
        <v>147</v>
      </c>
      <c r="E21" t="s">
        <v>42</v>
      </c>
      <c r="F21" t="s">
        <v>316</v>
      </c>
      <c r="G21">
        <v>18</v>
      </c>
      <c r="H21">
        <v>1</v>
      </c>
      <c r="I21">
        <v>0.2</v>
      </c>
      <c r="J21">
        <v>1</v>
      </c>
      <c r="K21">
        <v>0</v>
      </c>
      <c r="L21">
        <v>1</v>
      </c>
      <c r="M21" s="1">
        <v>42762</v>
      </c>
      <c r="N21">
        <v>0.1</v>
      </c>
      <c r="O21">
        <v>0</v>
      </c>
    </row>
    <row r="22" spans="2:20" x14ac:dyDescent="0.45">
      <c r="B22">
        <v>0</v>
      </c>
      <c r="C22">
        <v>1</v>
      </c>
      <c r="D22" t="s">
        <v>132</v>
      </c>
      <c r="E22" t="s">
        <v>322</v>
      </c>
      <c r="F22" t="s">
        <v>413</v>
      </c>
      <c r="G22">
        <v>11</v>
      </c>
      <c r="H22">
        <v>0</v>
      </c>
      <c r="I22">
        <v>0</v>
      </c>
      <c r="J22">
        <v>0</v>
      </c>
      <c r="K22">
        <v>1</v>
      </c>
      <c r="L22" t="s">
        <v>258</v>
      </c>
      <c r="M22" s="1">
        <v>33251</v>
      </c>
      <c r="N22">
        <v>0.1</v>
      </c>
      <c r="O22" t="s">
        <v>173</v>
      </c>
    </row>
    <row r="23" spans="2:20" x14ac:dyDescent="0.45">
      <c r="B23">
        <v>0</v>
      </c>
      <c r="C23">
        <v>1</v>
      </c>
      <c r="D23" t="s">
        <v>132</v>
      </c>
      <c r="E23" t="s">
        <v>279</v>
      </c>
      <c r="F23" t="s">
        <v>52</v>
      </c>
      <c r="G23">
        <v>10</v>
      </c>
      <c r="H23">
        <v>0</v>
      </c>
      <c r="I23">
        <v>0</v>
      </c>
      <c r="J23">
        <v>0</v>
      </c>
      <c r="K23">
        <v>0</v>
      </c>
      <c r="L23">
        <v>0</v>
      </c>
      <c r="M23" s="1">
        <v>26300</v>
      </c>
      <c r="N23">
        <v>0.1</v>
      </c>
      <c r="O23" t="s">
        <v>30</v>
      </c>
    </row>
    <row r="24" spans="2:20" x14ac:dyDescent="0.45">
      <c r="B24">
        <v>0</v>
      </c>
      <c r="C24">
        <v>0</v>
      </c>
      <c r="D24" t="s">
        <v>8</v>
      </c>
      <c r="E24" t="s">
        <v>181</v>
      </c>
      <c r="F24" t="s">
        <v>30</v>
      </c>
      <c r="G24">
        <v>1</v>
      </c>
      <c r="H24">
        <v>1</v>
      </c>
      <c r="I24">
        <v>0.2</v>
      </c>
      <c r="J24">
        <v>0</v>
      </c>
      <c r="K24">
        <v>0</v>
      </c>
      <c r="L24">
        <v>0</v>
      </c>
      <c r="M24" s="1">
        <v>22860</v>
      </c>
      <c r="N24">
        <v>0.1</v>
      </c>
      <c r="O24">
        <v>0</v>
      </c>
    </row>
    <row r="25" spans="2:20" x14ac:dyDescent="0.45">
      <c r="B25">
        <v>0.5</v>
      </c>
      <c r="C25">
        <v>0.5</v>
      </c>
      <c r="D25" t="s">
        <v>132</v>
      </c>
      <c r="E25" t="s">
        <v>414</v>
      </c>
      <c r="F25" t="s">
        <v>30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 s="1">
        <v>21300</v>
      </c>
      <c r="N25">
        <v>0.1</v>
      </c>
      <c r="O25" t="s">
        <v>30</v>
      </c>
    </row>
    <row r="26" spans="2:20" x14ac:dyDescent="0.45">
      <c r="B26">
        <v>0.5</v>
      </c>
      <c r="C26">
        <v>0.5</v>
      </c>
      <c r="D26" t="s">
        <v>132</v>
      </c>
      <c r="E26" t="s">
        <v>415</v>
      </c>
      <c r="F26" t="s">
        <v>30</v>
      </c>
      <c r="G26">
        <v>1</v>
      </c>
      <c r="H26">
        <v>1</v>
      </c>
      <c r="I26">
        <v>0.2</v>
      </c>
      <c r="J26">
        <v>1</v>
      </c>
      <c r="K26">
        <v>0</v>
      </c>
      <c r="L26">
        <v>1</v>
      </c>
      <c r="M26" s="1">
        <v>21181</v>
      </c>
      <c r="N26">
        <v>0.1</v>
      </c>
      <c r="O26" t="s">
        <v>30</v>
      </c>
    </row>
    <row r="27" spans="2:20" x14ac:dyDescent="0.45">
      <c r="B27">
        <v>1</v>
      </c>
      <c r="C27">
        <v>0</v>
      </c>
      <c r="D27" t="s">
        <v>132</v>
      </c>
      <c r="E27" t="s">
        <v>228</v>
      </c>
      <c r="F27" t="s">
        <v>416</v>
      </c>
      <c r="G27">
        <v>71</v>
      </c>
      <c r="H27">
        <v>0</v>
      </c>
      <c r="I27">
        <v>0</v>
      </c>
      <c r="J27">
        <v>0</v>
      </c>
      <c r="K27">
        <v>0</v>
      </c>
      <c r="L27">
        <v>0</v>
      </c>
      <c r="M27" s="1">
        <v>18623</v>
      </c>
      <c r="N27">
        <v>0.1</v>
      </c>
      <c r="O27">
        <v>0.1</v>
      </c>
    </row>
    <row r="28" spans="2:20" x14ac:dyDescent="0.45">
      <c r="B28">
        <v>0</v>
      </c>
      <c r="C28">
        <v>1</v>
      </c>
      <c r="D28" t="s">
        <v>132</v>
      </c>
      <c r="E28" t="s">
        <v>406</v>
      </c>
      <c r="F28" t="s">
        <v>417</v>
      </c>
      <c r="G28">
        <v>20</v>
      </c>
      <c r="H28">
        <v>0</v>
      </c>
      <c r="I28">
        <v>0</v>
      </c>
      <c r="J28">
        <v>0</v>
      </c>
      <c r="K28">
        <v>0</v>
      </c>
      <c r="L28">
        <v>0</v>
      </c>
      <c r="M28" s="1">
        <v>16827</v>
      </c>
      <c r="N28">
        <v>0.1</v>
      </c>
      <c r="O28">
        <v>0</v>
      </c>
    </row>
    <row r="29" spans="2:20" x14ac:dyDescent="0.45">
      <c r="B29">
        <v>0</v>
      </c>
      <c r="C29">
        <v>0</v>
      </c>
      <c r="D29" t="s">
        <v>132</v>
      </c>
      <c r="E29" t="s">
        <v>418</v>
      </c>
      <c r="F29" t="s">
        <v>419</v>
      </c>
      <c r="G29">
        <v>1</v>
      </c>
      <c r="H29">
        <v>0</v>
      </c>
      <c r="I29">
        <v>0</v>
      </c>
      <c r="J29">
        <v>0</v>
      </c>
      <c r="K29">
        <v>1</v>
      </c>
      <c r="L29" t="s">
        <v>258</v>
      </c>
      <c r="M29" s="1">
        <v>16150</v>
      </c>
      <c r="N29">
        <v>0.1</v>
      </c>
      <c r="O29">
        <v>0</v>
      </c>
    </row>
    <row r="30" spans="2:20" x14ac:dyDescent="0.45">
      <c r="B30">
        <v>0.5</v>
      </c>
      <c r="C30">
        <v>0.5</v>
      </c>
      <c r="D30" t="s">
        <v>132</v>
      </c>
      <c r="E30" t="s">
        <v>420</v>
      </c>
      <c r="F30" t="s">
        <v>30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 s="1">
        <v>12174</v>
      </c>
      <c r="N30">
        <v>0</v>
      </c>
      <c r="O30" t="s">
        <v>30</v>
      </c>
    </row>
    <row r="31" spans="2:20" x14ac:dyDescent="0.45">
      <c r="B31">
        <v>0</v>
      </c>
      <c r="C31">
        <v>0</v>
      </c>
      <c r="D31" t="s">
        <v>132</v>
      </c>
      <c r="E31" t="s">
        <v>319</v>
      </c>
      <c r="F31" t="s">
        <v>63</v>
      </c>
      <c r="G31">
        <v>37</v>
      </c>
      <c r="H31">
        <v>0</v>
      </c>
      <c r="I31">
        <v>0</v>
      </c>
      <c r="J31">
        <v>0</v>
      </c>
      <c r="K31">
        <v>0</v>
      </c>
      <c r="L31">
        <v>0</v>
      </c>
      <c r="M31" s="1">
        <v>12275</v>
      </c>
      <c r="N31">
        <v>0</v>
      </c>
      <c r="O31" t="s">
        <v>30</v>
      </c>
    </row>
    <row r="32" spans="2:20" x14ac:dyDescent="0.45">
      <c r="B32">
        <v>0</v>
      </c>
      <c r="C32">
        <v>0</v>
      </c>
      <c r="D32" t="s">
        <v>132</v>
      </c>
      <c r="E32" t="s">
        <v>344</v>
      </c>
      <c r="F32" t="s">
        <v>421</v>
      </c>
      <c r="G32">
        <v>17</v>
      </c>
      <c r="H32">
        <v>0</v>
      </c>
      <c r="I32">
        <v>0</v>
      </c>
      <c r="J32">
        <v>0</v>
      </c>
      <c r="K32">
        <v>0</v>
      </c>
      <c r="L32">
        <v>0</v>
      </c>
      <c r="M32" s="1">
        <v>10784</v>
      </c>
      <c r="N32">
        <v>0</v>
      </c>
      <c r="O32">
        <v>0</v>
      </c>
    </row>
    <row r="33" spans="2:15" x14ac:dyDescent="0.45">
      <c r="B33">
        <v>0</v>
      </c>
      <c r="C33">
        <v>0</v>
      </c>
      <c r="D33" t="s">
        <v>132</v>
      </c>
      <c r="E33" t="s">
        <v>422</v>
      </c>
      <c r="F33" t="s">
        <v>423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 s="1">
        <v>10331</v>
      </c>
      <c r="N33">
        <v>0</v>
      </c>
      <c r="O33" t="s">
        <v>30</v>
      </c>
    </row>
    <row r="34" spans="2:15" x14ac:dyDescent="0.45">
      <c r="B34">
        <v>0</v>
      </c>
      <c r="C34">
        <v>0</v>
      </c>
      <c r="D34" t="s">
        <v>132</v>
      </c>
      <c r="E34" t="s">
        <v>84</v>
      </c>
      <c r="F34" t="s">
        <v>85</v>
      </c>
      <c r="G34">
        <v>27</v>
      </c>
      <c r="H34">
        <v>0</v>
      </c>
      <c r="I34">
        <v>0</v>
      </c>
      <c r="J34">
        <v>0</v>
      </c>
      <c r="K34">
        <v>0</v>
      </c>
      <c r="L34">
        <v>0</v>
      </c>
      <c r="M34" s="1">
        <v>7510</v>
      </c>
      <c r="N34">
        <v>0</v>
      </c>
      <c r="O34">
        <v>0</v>
      </c>
    </row>
    <row r="35" spans="2:15" x14ac:dyDescent="0.45">
      <c r="B35">
        <v>0</v>
      </c>
      <c r="C35">
        <v>0</v>
      </c>
      <c r="D35" t="s">
        <v>132</v>
      </c>
      <c r="E35" t="s">
        <v>284</v>
      </c>
      <c r="F35" t="s">
        <v>285</v>
      </c>
      <c r="G35">
        <v>23</v>
      </c>
      <c r="H35">
        <v>0</v>
      </c>
      <c r="I35">
        <v>0</v>
      </c>
      <c r="J35">
        <v>0</v>
      </c>
      <c r="K35">
        <v>0</v>
      </c>
      <c r="L35">
        <v>0</v>
      </c>
      <c r="M35" s="1">
        <v>7196</v>
      </c>
      <c r="N35">
        <v>0</v>
      </c>
      <c r="O35" t="s">
        <v>173</v>
      </c>
    </row>
    <row r="36" spans="2:15" x14ac:dyDescent="0.45">
      <c r="B36">
        <v>0</v>
      </c>
      <c r="C36">
        <v>0</v>
      </c>
      <c r="D36" t="s">
        <v>132</v>
      </c>
      <c r="E36" t="s">
        <v>186</v>
      </c>
      <c r="F36" t="s">
        <v>424</v>
      </c>
      <c r="G36">
        <v>5</v>
      </c>
      <c r="H36">
        <v>0</v>
      </c>
      <c r="I36">
        <v>0</v>
      </c>
      <c r="J36">
        <v>0</v>
      </c>
      <c r="K36">
        <v>0</v>
      </c>
      <c r="L36">
        <v>0</v>
      </c>
      <c r="M36" s="1">
        <v>6781</v>
      </c>
      <c r="N36">
        <v>0</v>
      </c>
      <c r="O36" t="s">
        <v>173</v>
      </c>
    </row>
    <row r="37" spans="2:15" x14ac:dyDescent="0.45">
      <c r="B37">
        <v>0</v>
      </c>
      <c r="C37">
        <v>0</v>
      </c>
      <c r="D37" t="s">
        <v>132</v>
      </c>
      <c r="E37" t="s">
        <v>425</v>
      </c>
      <c r="F37" t="s">
        <v>426</v>
      </c>
      <c r="G37">
        <v>1</v>
      </c>
      <c r="H37">
        <v>0</v>
      </c>
      <c r="I37">
        <v>0</v>
      </c>
      <c r="J37">
        <v>0</v>
      </c>
      <c r="K37">
        <v>1</v>
      </c>
      <c r="L37" t="s">
        <v>258</v>
      </c>
      <c r="M37" s="1">
        <v>6458</v>
      </c>
      <c r="N37">
        <v>0</v>
      </c>
      <c r="O37" t="s">
        <v>173</v>
      </c>
    </row>
    <row r="38" spans="2:15" x14ac:dyDescent="0.45">
      <c r="B38">
        <v>0</v>
      </c>
      <c r="C38">
        <v>0</v>
      </c>
      <c r="D38" t="s">
        <v>132</v>
      </c>
      <c r="E38" t="s">
        <v>192</v>
      </c>
      <c r="F38" t="s">
        <v>427</v>
      </c>
      <c r="G38">
        <v>17</v>
      </c>
      <c r="H38">
        <v>0</v>
      </c>
      <c r="I38">
        <v>0</v>
      </c>
      <c r="J38">
        <v>0</v>
      </c>
      <c r="K38">
        <v>0</v>
      </c>
      <c r="L38">
        <v>0</v>
      </c>
      <c r="M38" s="1">
        <v>6276</v>
      </c>
      <c r="N38">
        <v>0</v>
      </c>
      <c r="O38">
        <v>0</v>
      </c>
    </row>
    <row r="39" spans="2:15" x14ac:dyDescent="0.45">
      <c r="B39">
        <v>0</v>
      </c>
      <c r="C39">
        <v>0</v>
      </c>
      <c r="D39" t="s">
        <v>132</v>
      </c>
      <c r="E39" t="s">
        <v>205</v>
      </c>
      <c r="F39" t="s">
        <v>206</v>
      </c>
      <c r="G39">
        <v>6</v>
      </c>
      <c r="H39">
        <v>0</v>
      </c>
      <c r="I39">
        <v>0</v>
      </c>
      <c r="J39">
        <v>0</v>
      </c>
      <c r="K39">
        <v>0</v>
      </c>
      <c r="L39">
        <v>0</v>
      </c>
      <c r="M39" s="1">
        <v>5379</v>
      </c>
      <c r="N39">
        <v>0</v>
      </c>
      <c r="O39">
        <v>0</v>
      </c>
    </row>
    <row r="40" spans="2:15" x14ac:dyDescent="0.45">
      <c r="B40">
        <v>0</v>
      </c>
      <c r="C40">
        <v>0</v>
      </c>
      <c r="D40" t="s">
        <v>132</v>
      </c>
      <c r="E40" t="s">
        <v>199</v>
      </c>
      <c r="F40" t="s">
        <v>61</v>
      </c>
      <c r="G40">
        <v>3</v>
      </c>
      <c r="H40">
        <v>0</v>
      </c>
      <c r="I40">
        <v>0</v>
      </c>
      <c r="J40">
        <v>0</v>
      </c>
      <c r="K40">
        <v>0</v>
      </c>
      <c r="L40">
        <v>0</v>
      </c>
      <c r="M40" s="1">
        <v>5311</v>
      </c>
      <c r="N40">
        <v>0</v>
      </c>
      <c r="O40" t="s">
        <v>30</v>
      </c>
    </row>
    <row r="41" spans="2:15" x14ac:dyDescent="0.45">
      <c r="B41">
        <v>0</v>
      </c>
      <c r="C41">
        <v>0</v>
      </c>
      <c r="D41" t="s">
        <v>132</v>
      </c>
      <c r="E41" t="s">
        <v>428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 s="1">
        <v>4339</v>
      </c>
      <c r="N41">
        <v>0</v>
      </c>
      <c r="O41" t="s">
        <v>30</v>
      </c>
    </row>
    <row r="42" spans="2:15" x14ac:dyDescent="0.45">
      <c r="B42">
        <v>0</v>
      </c>
      <c r="C42">
        <v>0</v>
      </c>
      <c r="D42" t="s">
        <v>132</v>
      </c>
      <c r="E42" t="s">
        <v>325</v>
      </c>
      <c r="F42" t="s">
        <v>429</v>
      </c>
      <c r="G42">
        <v>4</v>
      </c>
      <c r="H42">
        <v>0</v>
      </c>
      <c r="I42">
        <v>0</v>
      </c>
      <c r="J42">
        <v>0</v>
      </c>
      <c r="K42">
        <v>0</v>
      </c>
      <c r="L42">
        <v>0</v>
      </c>
      <c r="M42" s="1">
        <v>3542</v>
      </c>
      <c r="N42">
        <v>0</v>
      </c>
      <c r="O42">
        <v>0</v>
      </c>
    </row>
    <row r="43" spans="2:15" x14ac:dyDescent="0.45">
      <c r="B43">
        <v>0</v>
      </c>
      <c r="C43">
        <v>0</v>
      </c>
      <c r="D43" t="s">
        <v>132</v>
      </c>
      <c r="E43" t="s">
        <v>430</v>
      </c>
      <c r="F43" t="s">
        <v>431</v>
      </c>
      <c r="G43">
        <v>4</v>
      </c>
      <c r="H43">
        <v>0</v>
      </c>
      <c r="I43">
        <v>0</v>
      </c>
      <c r="J43">
        <v>0</v>
      </c>
      <c r="K43">
        <v>0</v>
      </c>
      <c r="L43">
        <v>0</v>
      </c>
      <c r="M43" s="1">
        <v>3298</v>
      </c>
      <c r="N43">
        <v>0</v>
      </c>
      <c r="O43">
        <v>0</v>
      </c>
    </row>
    <row r="44" spans="2:15" x14ac:dyDescent="0.45">
      <c r="B44">
        <v>0</v>
      </c>
      <c r="C44">
        <v>0</v>
      </c>
      <c r="D44" t="s">
        <v>132</v>
      </c>
      <c r="E44" t="s">
        <v>432</v>
      </c>
      <c r="F44" t="s">
        <v>433</v>
      </c>
      <c r="G44">
        <v>2</v>
      </c>
      <c r="H44">
        <v>0</v>
      </c>
      <c r="I44">
        <v>0</v>
      </c>
      <c r="J44">
        <v>0</v>
      </c>
      <c r="K44">
        <v>0</v>
      </c>
      <c r="L44">
        <v>0</v>
      </c>
      <c r="M44" s="1">
        <v>3233</v>
      </c>
      <c r="N44">
        <v>0</v>
      </c>
      <c r="O44" t="s">
        <v>30</v>
      </c>
    </row>
    <row r="45" spans="2:15" x14ac:dyDescent="0.45">
      <c r="B45">
        <v>0</v>
      </c>
      <c r="C45">
        <v>0</v>
      </c>
      <c r="D45" t="s">
        <v>132</v>
      </c>
      <c r="E45" t="s">
        <v>357</v>
      </c>
      <c r="F45" t="s">
        <v>434</v>
      </c>
      <c r="G45">
        <v>10</v>
      </c>
      <c r="H45">
        <v>0</v>
      </c>
      <c r="I45">
        <v>0</v>
      </c>
      <c r="J45">
        <v>0</v>
      </c>
      <c r="K45">
        <v>0</v>
      </c>
      <c r="L45">
        <v>0</v>
      </c>
      <c r="M45" s="1">
        <v>3157</v>
      </c>
      <c r="N45">
        <v>0</v>
      </c>
      <c r="O45" t="s">
        <v>173</v>
      </c>
    </row>
    <row r="46" spans="2:15" x14ac:dyDescent="0.45">
      <c r="B46">
        <v>0</v>
      </c>
      <c r="C46">
        <v>0</v>
      </c>
      <c r="D46" t="s">
        <v>132</v>
      </c>
      <c r="E46" t="s">
        <v>70</v>
      </c>
      <c r="F46" t="s">
        <v>30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 s="1">
        <v>2936</v>
      </c>
      <c r="N46">
        <v>0</v>
      </c>
      <c r="O46" t="s">
        <v>30</v>
      </c>
    </row>
    <row r="47" spans="2:15" x14ac:dyDescent="0.45">
      <c r="B47">
        <v>0</v>
      </c>
      <c r="C47">
        <v>0</v>
      </c>
      <c r="D47" t="s">
        <v>132</v>
      </c>
      <c r="E47" t="s">
        <v>435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 s="1">
        <v>1964</v>
      </c>
      <c r="N47">
        <v>0</v>
      </c>
      <c r="O47" t="s">
        <v>30</v>
      </c>
    </row>
    <row r="48" spans="2:15" x14ac:dyDescent="0.45">
      <c r="B48">
        <v>0</v>
      </c>
      <c r="C48">
        <v>0</v>
      </c>
      <c r="D48" t="s">
        <v>132</v>
      </c>
      <c r="E48" t="s">
        <v>436</v>
      </c>
      <c r="F48" t="s">
        <v>30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 s="1">
        <v>1872</v>
      </c>
      <c r="N48">
        <v>0</v>
      </c>
      <c r="O48" t="s">
        <v>30</v>
      </c>
    </row>
    <row r="49" spans="2:15" x14ac:dyDescent="0.45">
      <c r="B49">
        <v>0</v>
      </c>
      <c r="C49">
        <v>0</v>
      </c>
      <c r="D49" t="s">
        <v>132</v>
      </c>
      <c r="E49" t="s">
        <v>359</v>
      </c>
      <c r="F49" t="s">
        <v>360</v>
      </c>
      <c r="G49">
        <v>6</v>
      </c>
      <c r="H49">
        <v>0</v>
      </c>
      <c r="I49">
        <v>0</v>
      </c>
      <c r="J49">
        <v>0</v>
      </c>
      <c r="K49">
        <v>0</v>
      </c>
      <c r="L49">
        <v>0</v>
      </c>
      <c r="M49" s="1">
        <v>1581</v>
      </c>
      <c r="N49">
        <v>0</v>
      </c>
      <c r="O49">
        <v>0</v>
      </c>
    </row>
    <row r="50" spans="2:15" x14ac:dyDescent="0.45">
      <c r="B50">
        <v>0</v>
      </c>
      <c r="C50">
        <v>0</v>
      </c>
      <c r="D50" t="s">
        <v>132</v>
      </c>
      <c r="E50" t="s">
        <v>195</v>
      </c>
      <c r="F50" t="s">
        <v>291</v>
      </c>
      <c r="G50">
        <v>2</v>
      </c>
      <c r="H50">
        <v>0</v>
      </c>
      <c r="I50">
        <v>0</v>
      </c>
      <c r="J50">
        <v>0</v>
      </c>
      <c r="K50">
        <v>0</v>
      </c>
      <c r="L50">
        <v>0</v>
      </c>
      <c r="M50" s="1">
        <v>1551</v>
      </c>
      <c r="N50">
        <v>0</v>
      </c>
      <c r="O50" t="s">
        <v>30</v>
      </c>
    </row>
    <row r="51" spans="2:15" x14ac:dyDescent="0.45">
      <c r="B51">
        <v>0</v>
      </c>
      <c r="C51">
        <v>0</v>
      </c>
      <c r="D51" t="s">
        <v>132</v>
      </c>
      <c r="E51" t="s">
        <v>281</v>
      </c>
      <c r="F51" t="s">
        <v>437</v>
      </c>
      <c r="G51">
        <v>9</v>
      </c>
      <c r="H51">
        <v>0</v>
      </c>
      <c r="I51">
        <v>0</v>
      </c>
      <c r="J51">
        <v>0</v>
      </c>
      <c r="K51">
        <v>0</v>
      </c>
      <c r="L51">
        <v>0</v>
      </c>
      <c r="M51" s="1">
        <v>1348</v>
      </c>
      <c r="N51">
        <v>0</v>
      </c>
      <c r="O51" t="s">
        <v>30</v>
      </c>
    </row>
    <row r="52" spans="2:15" x14ac:dyDescent="0.45">
      <c r="B52">
        <v>0</v>
      </c>
      <c r="C52">
        <v>0</v>
      </c>
      <c r="D52" t="s">
        <v>132</v>
      </c>
      <c r="E52" t="s">
        <v>438</v>
      </c>
      <c r="F52" t="s">
        <v>439</v>
      </c>
      <c r="G52">
        <v>2</v>
      </c>
      <c r="H52">
        <v>0</v>
      </c>
      <c r="I52">
        <v>0</v>
      </c>
      <c r="J52">
        <v>0</v>
      </c>
      <c r="K52">
        <v>0</v>
      </c>
      <c r="L52">
        <v>0</v>
      </c>
      <c r="M52" s="1">
        <v>1173</v>
      </c>
      <c r="N52">
        <v>0</v>
      </c>
      <c r="O52">
        <v>0</v>
      </c>
    </row>
    <row r="53" spans="2:15" x14ac:dyDescent="0.45">
      <c r="B53">
        <v>0</v>
      </c>
      <c r="C53">
        <v>0</v>
      </c>
      <c r="D53" t="s">
        <v>132</v>
      </c>
      <c r="E53" t="s">
        <v>440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 s="1">
        <v>1208</v>
      </c>
      <c r="N53">
        <v>0</v>
      </c>
      <c r="O53">
        <v>0</v>
      </c>
    </row>
    <row r="54" spans="2:15" x14ac:dyDescent="0.45">
      <c r="B54">
        <v>0</v>
      </c>
      <c r="C54">
        <v>0</v>
      </c>
      <c r="D54" t="s">
        <v>132</v>
      </c>
      <c r="E54" t="s">
        <v>441</v>
      </c>
      <c r="F54" t="s">
        <v>442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 s="1">
        <v>1078</v>
      </c>
      <c r="N54">
        <v>0</v>
      </c>
      <c r="O54">
        <v>0</v>
      </c>
    </row>
    <row r="55" spans="2:15" x14ac:dyDescent="0.45">
      <c r="B55">
        <v>0</v>
      </c>
      <c r="C55">
        <v>0</v>
      </c>
      <c r="D55" t="s">
        <v>132</v>
      </c>
      <c r="E55" t="s">
        <v>443</v>
      </c>
      <c r="G55">
        <v>2</v>
      </c>
      <c r="H55">
        <v>0</v>
      </c>
      <c r="I55">
        <v>0</v>
      </c>
      <c r="J55">
        <v>0</v>
      </c>
      <c r="K55">
        <v>0</v>
      </c>
      <c r="L55">
        <v>0</v>
      </c>
      <c r="M55">
        <v>977</v>
      </c>
      <c r="N55">
        <v>0</v>
      </c>
      <c r="O55">
        <v>0</v>
      </c>
    </row>
    <row r="56" spans="2:15" x14ac:dyDescent="0.45">
      <c r="B56">
        <v>0</v>
      </c>
      <c r="C56">
        <v>0</v>
      </c>
      <c r="D56" t="s">
        <v>132</v>
      </c>
      <c r="E56" t="s">
        <v>444</v>
      </c>
      <c r="F56" t="s">
        <v>106</v>
      </c>
      <c r="G56">
        <v>6</v>
      </c>
      <c r="H56">
        <v>0</v>
      </c>
      <c r="I56">
        <v>0</v>
      </c>
      <c r="J56">
        <v>0</v>
      </c>
      <c r="K56">
        <v>0</v>
      </c>
      <c r="L56">
        <v>0</v>
      </c>
      <c r="M56">
        <v>947</v>
      </c>
      <c r="N56">
        <v>0</v>
      </c>
      <c r="O56">
        <v>0</v>
      </c>
    </row>
    <row r="57" spans="2:15" x14ac:dyDescent="0.45">
      <c r="B57">
        <v>0</v>
      </c>
      <c r="C57">
        <v>0</v>
      </c>
      <c r="D57" t="s">
        <v>132</v>
      </c>
      <c r="E57" t="s">
        <v>445</v>
      </c>
      <c r="F57" t="s">
        <v>446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842</v>
      </c>
      <c r="N57">
        <v>0</v>
      </c>
      <c r="O57">
        <v>0</v>
      </c>
    </row>
    <row r="58" spans="2:15" x14ac:dyDescent="0.45">
      <c r="B58">
        <v>0</v>
      </c>
      <c r="C58">
        <v>0</v>
      </c>
      <c r="D58" t="s">
        <v>132</v>
      </c>
      <c r="E58" t="s">
        <v>447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803</v>
      </c>
      <c r="N58">
        <v>0</v>
      </c>
      <c r="O58">
        <v>0</v>
      </c>
    </row>
    <row r="59" spans="2:15" x14ac:dyDescent="0.45">
      <c r="B59">
        <v>0</v>
      </c>
      <c r="C59">
        <v>0</v>
      </c>
      <c r="D59" t="s">
        <v>132</v>
      </c>
      <c r="E59" t="s">
        <v>448</v>
      </c>
      <c r="G59">
        <v>2</v>
      </c>
      <c r="H59">
        <v>0</v>
      </c>
      <c r="I59">
        <v>0</v>
      </c>
      <c r="J59">
        <v>0</v>
      </c>
      <c r="K59">
        <v>0</v>
      </c>
      <c r="L59">
        <v>0</v>
      </c>
      <c r="M59">
        <v>753</v>
      </c>
      <c r="N59">
        <v>0</v>
      </c>
      <c r="O59" t="s">
        <v>30</v>
      </c>
    </row>
    <row r="60" spans="2:15" x14ac:dyDescent="0.45">
      <c r="B60">
        <v>0</v>
      </c>
      <c r="C60">
        <v>0</v>
      </c>
      <c r="D60" t="s">
        <v>132</v>
      </c>
      <c r="E60" t="s">
        <v>449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746</v>
      </c>
      <c r="N60">
        <v>0</v>
      </c>
      <c r="O60">
        <v>0</v>
      </c>
    </row>
    <row r="61" spans="2:15" x14ac:dyDescent="0.45">
      <c r="B61">
        <v>0</v>
      </c>
      <c r="C61">
        <v>0</v>
      </c>
      <c r="D61" t="s">
        <v>132</v>
      </c>
      <c r="E61" t="s">
        <v>232</v>
      </c>
      <c r="F61" t="s">
        <v>287</v>
      </c>
      <c r="G61">
        <v>7</v>
      </c>
      <c r="H61">
        <v>0</v>
      </c>
      <c r="I61">
        <v>0</v>
      </c>
      <c r="J61">
        <v>0</v>
      </c>
      <c r="K61">
        <v>0</v>
      </c>
      <c r="L61">
        <v>0</v>
      </c>
      <c r="M61">
        <v>738</v>
      </c>
      <c r="N61">
        <v>0</v>
      </c>
      <c r="O61">
        <v>0</v>
      </c>
    </row>
    <row r="62" spans="2:15" x14ac:dyDescent="0.45">
      <c r="B62">
        <v>0</v>
      </c>
      <c r="C62">
        <v>0</v>
      </c>
      <c r="D62" t="s">
        <v>132</v>
      </c>
      <c r="E62" t="s">
        <v>222</v>
      </c>
      <c r="F62" t="s">
        <v>223</v>
      </c>
      <c r="G62">
        <v>3</v>
      </c>
      <c r="H62">
        <v>0</v>
      </c>
      <c r="I62">
        <v>0</v>
      </c>
      <c r="J62">
        <v>0</v>
      </c>
      <c r="K62">
        <v>0</v>
      </c>
      <c r="L62">
        <v>0</v>
      </c>
      <c r="M62">
        <v>737</v>
      </c>
      <c r="N62">
        <v>0</v>
      </c>
      <c r="O62">
        <v>0</v>
      </c>
    </row>
    <row r="63" spans="2:15" x14ac:dyDescent="0.45">
      <c r="B63">
        <v>0</v>
      </c>
      <c r="C63">
        <v>0</v>
      </c>
      <c r="D63" t="s">
        <v>132</v>
      </c>
      <c r="E63" t="s">
        <v>450</v>
      </c>
      <c r="F63" t="s">
        <v>30</v>
      </c>
      <c r="G63">
        <v>4</v>
      </c>
      <c r="H63">
        <v>0</v>
      </c>
      <c r="I63">
        <v>0</v>
      </c>
      <c r="J63">
        <v>0</v>
      </c>
      <c r="K63">
        <v>0</v>
      </c>
      <c r="L63">
        <v>0</v>
      </c>
      <c r="M63">
        <v>675</v>
      </c>
      <c r="N63">
        <v>0</v>
      </c>
      <c r="O63">
        <v>0</v>
      </c>
    </row>
    <row r="64" spans="2:15" x14ac:dyDescent="0.45">
      <c r="B64">
        <v>0</v>
      </c>
      <c r="C64">
        <v>0</v>
      </c>
      <c r="D64" t="s">
        <v>132</v>
      </c>
      <c r="E64" t="s">
        <v>451</v>
      </c>
      <c r="G64">
        <v>2</v>
      </c>
      <c r="H64">
        <v>0</v>
      </c>
      <c r="I64">
        <v>0</v>
      </c>
      <c r="J64">
        <v>0</v>
      </c>
      <c r="K64">
        <v>0</v>
      </c>
      <c r="L64">
        <v>0</v>
      </c>
      <c r="M64">
        <v>598</v>
      </c>
      <c r="N64">
        <v>0</v>
      </c>
      <c r="O64">
        <v>0</v>
      </c>
    </row>
    <row r="65" spans="2:15" x14ac:dyDescent="0.45">
      <c r="B65">
        <v>0</v>
      </c>
      <c r="C65">
        <v>0</v>
      </c>
      <c r="D65" t="s">
        <v>132</v>
      </c>
      <c r="E65" t="s">
        <v>452</v>
      </c>
      <c r="F65" t="s">
        <v>453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558</v>
      </c>
      <c r="N65">
        <v>0</v>
      </c>
      <c r="O65">
        <v>0</v>
      </c>
    </row>
    <row r="66" spans="2:15" x14ac:dyDescent="0.45">
      <c r="G66" s="1"/>
      <c r="M66" s="1"/>
    </row>
  </sheetData>
  <conditionalFormatting sqref="B12:D12 B8:C11 B13:C14 B15:D65">
    <cfRule type="colorScale" priority="3">
      <colorScale>
        <cfvo type="min"/>
        <cfvo type="max"/>
        <color rgb="FFFCFCFF"/>
        <color rgb="FF63BE7B"/>
      </colorScale>
    </cfRule>
  </conditionalFormatting>
  <conditionalFormatting sqref="T11:T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D1971-7E80-4D0B-A055-B1CF69F6ACE3}">
  <dimension ref="A4:S66"/>
  <sheetViews>
    <sheetView workbookViewId="0">
      <selection activeCell="R7" sqref="R7:S18"/>
    </sheetView>
  </sheetViews>
  <sheetFormatPr defaultRowHeight="14.25" x14ac:dyDescent="0.45"/>
  <cols>
    <col min="12" max="12" width="19.796875" customWidth="1"/>
    <col min="19" max="19" width="12.9296875" customWidth="1"/>
  </cols>
  <sheetData>
    <row r="4" spans="1:19" x14ac:dyDescent="0.45">
      <c r="A4">
        <f>SUMPRODUCT(A7:A75,$L$7:$L$75)</f>
        <v>294560</v>
      </c>
      <c r="B4">
        <f>SUMPRODUCT(B7:B75,$L$7:$L$75)</f>
        <v>373414</v>
      </c>
    </row>
    <row r="6" spans="1:19" x14ac:dyDescent="0.45">
      <c r="A6" t="s">
        <v>148</v>
      </c>
      <c r="B6" t="s">
        <v>149</v>
      </c>
      <c r="D6" t="s">
        <v>152</v>
      </c>
      <c r="E6" t="s">
        <v>1</v>
      </c>
      <c r="F6" t="s">
        <v>2</v>
      </c>
      <c r="G6" t="s">
        <v>391</v>
      </c>
      <c r="H6" t="s">
        <v>454</v>
      </c>
      <c r="I6" t="s">
        <v>455</v>
      </c>
      <c r="J6" t="s">
        <v>456</v>
      </c>
      <c r="K6" t="s">
        <v>457</v>
      </c>
      <c r="L6" t="s">
        <v>458</v>
      </c>
      <c r="M6" t="s">
        <v>459</v>
      </c>
      <c r="N6" t="s">
        <v>460</v>
      </c>
      <c r="O6" t="s">
        <v>461</v>
      </c>
    </row>
    <row r="7" spans="1:19" x14ac:dyDescent="0.45">
      <c r="A7">
        <v>0</v>
      </c>
      <c r="B7">
        <v>0</v>
      </c>
      <c r="C7" t="s">
        <v>8</v>
      </c>
      <c r="D7" t="s">
        <v>8</v>
      </c>
      <c r="E7" t="s">
        <v>462</v>
      </c>
      <c r="F7" t="s">
        <v>463</v>
      </c>
      <c r="G7" t="s">
        <v>464</v>
      </c>
      <c r="H7">
        <v>0</v>
      </c>
      <c r="I7">
        <v>47</v>
      </c>
      <c r="J7" t="s">
        <v>465</v>
      </c>
      <c r="K7" t="s">
        <v>466</v>
      </c>
      <c r="L7" s="1">
        <v>9552436</v>
      </c>
      <c r="M7" t="s">
        <v>467</v>
      </c>
      <c r="N7" t="s">
        <v>468</v>
      </c>
      <c r="O7" t="s">
        <v>469</v>
      </c>
    </row>
    <row r="8" spans="1:19" x14ac:dyDescent="0.45">
      <c r="A8">
        <v>0</v>
      </c>
      <c r="B8">
        <v>0</v>
      </c>
      <c r="C8" t="s">
        <v>15</v>
      </c>
      <c r="D8" t="s">
        <v>15</v>
      </c>
      <c r="E8" t="s">
        <v>470</v>
      </c>
      <c r="F8">
        <v>630</v>
      </c>
      <c r="G8">
        <v>198</v>
      </c>
      <c r="H8">
        <v>36</v>
      </c>
      <c r="I8">
        <v>3</v>
      </c>
      <c r="J8">
        <v>33</v>
      </c>
      <c r="K8">
        <v>30.7</v>
      </c>
      <c r="L8" s="1">
        <v>8784915</v>
      </c>
      <c r="M8">
        <v>32.4</v>
      </c>
      <c r="N8">
        <v>0.7</v>
      </c>
      <c r="O8" s="1">
        <v>44368</v>
      </c>
      <c r="R8" t="s">
        <v>148</v>
      </c>
      <c r="S8">
        <f>A4</f>
        <v>294560</v>
      </c>
    </row>
    <row r="9" spans="1:19" x14ac:dyDescent="0.45">
      <c r="A9">
        <v>0</v>
      </c>
      <c r="B9">
        <v>0</v>
      </c>
      <c r="C9" t="s">
        <v>20</v>
      </c>
      <c r="D9" t="s">
        <v>20</v>
      </c>
      <c r="E9" t="s">
        <v>471</v>
      </c>
      <c r="F9">
        <v>626</v>
      </c>
      <c r="G9">
        <v>62</v>
      </c>
      <c r="H9">
        <v>16</v>
      </c>
      <c r="I9">
        <v>5</v>
      </c>
      <c r="J9">
        <v>11</v>
      </c>
      <c r="K9">
        <v>9.6</v>
      </c>
      <c r="L9" s="1">
        <v>5985454</v>
      </c>
      <c r="M9">
        <v>22</v>
      </c>
      <c r="N9">
        <v>3.8</v>
      </c>
      <c r="O9" s="1">
        <v>96540</v>
      </c>
      <c r="R9" t="s">
        <v>238</v>
      </c>
      <c r="S9" s="6">
        <f>SUMIF($C$7:$C$51,R9,$L$7:$L$51)</f>
        <v>605973</v>
      </c>
    </row>
    <row r="10" spans="1:19" x14ac:dyDescent="0.45">
      <c r="A10">
        <v>0</v>
      </c>
      <c r="B10">
        <v>0</v>
      </c>
      <c r="C10" t="s">
        <v>238</v>
      </c>
      <c r="D10" t="s">
        <v>182</v>
      </c>
      <c r="E10" t="s">
        <v>472</v>
      </c>
      <c r="F10">
        <v>496</v>
      </c>
      <c r="G10">
        <v>0</v>
      </c>
      <c r="H10">
        <v>0</v>
      </c>
      <c r="I10">
        <v>0</v>
      </c>
      <c r="J10">
        <v>0</v>
      </c>
      <c r="K10">
        <v>0</v>
      </c>
      <c r="L10" s="1">
        <v>605973</v>
      </c>
      <c r="M10">
        <v>2.2000000000000002</v>
      </c>
      <c r="N10">
        <v>0.8</v>
      </c>
      <c r="O10" t="s">
        <v>473</v>
      </c>
      <c r="R10" t="s">
        <v>15</v>
      </c>
      <c r="S10" s="6">
        <f t="shared" ref="S10:S14" si="0">SUMIF($C$7:$C$51,R10,$L$7:$L$51)</f>
        <v>8784915</v>
      </c>
    </row>
    <row r="11" spans="1:19" x14ac:dyDescent="0.45">
      <c r="A11">
        <v>0</v>
      </c>
      <c r="B11">
        <v>0</v>
      </c>
      <c r="C11" t="s">
        <v>142</v>
      </c>
      <c r="D11" t="s">
        <v>142</v>
      </c>
      <c r="E11" t="s">
        <v>65</v>
      </c>
      <c r="F11">
        <v>59</v>
      </c>
      <c r="G11">
        <v>6</v>
      </c>
      <c r="H11">
        <v>2</v>
      </c>
      <c r="I11">
        <v>0</v>
      </c>
      <c r="J11">
        <v>2</v>
      </c>
      <c r="K11">
        <v>0.9</v>
      </c>
      <c r="L11" s="1">
        <v>412267</v>
      </c>
      <c r="M11">
        <v>1.5</v>
      </c>
      <c r="N11" t="s">
        <v>474</v>
      </c>
      <c r="O11" s="1">
        <v>68711</v>
      </c>
      <c r="R11" t="s">
        <v>20</v>
      </c>
      <c r="S11" s="6">
        <f t="shared" si="0"/>
        <v>5985454</v>
      </c>
    </row>
    <row r="12" spans="1:19" x14ac:dyDescent="0.45">
      <c r="A12">
        <v>0</v>
      </c>
      <c r="B12">
        <v>0</v>
      </c>
      <c r="C12" t="s">
        <v>406</v>
      </c>
      <c r="D12" t="s">
        <v>406</v>
      </c>
      <c r="E12" t="s">
        <v>475</v>
      </c>
      <c r="F12">
        <v>182</v>
      </c>
      <c r="G12">
        <v>0</v>
      </c>
      <c r="H12">
        <v>0</v>
      </c>
      <c r="I12">
        <v>0</v>
      </c>
      <c r="J12">
        <v>0</v>
      </c>
      <c r="K12">
        <v>0</v>
      </c>
      <c r="L12" s="1">
        <v>257758</v>
      </c>
      <c r="M12">
        <v>1</v>
      </c>
      <c r="N12">
        <v>0.4</v>
      </c>
      <c r="O12" t="s">
        <v>473</v>
      </c>
      <c r="R12" t="s">
        <v>8</v>
      </c>
      <c r="S12" s="6">
        <f t="shared" si="0"/>
        <v>9552436</v>
      </c>
    </row>
    <row r="13" spans="1:19" x14ac:dyDescent="0.45">
      <c r="A13">
        <v>0</v>
      </c>
      <c r="B13">
        <v>0</v>
      </c>
      <c r="C13" t="s">
        <v>147</v>
      </c>
      <c r="D13" t="s">
        <v>171</v>
      </c>
      <c r="E13" t="s">
        <v>476</v>
      </c>
      <c r="F13">
        <v>18</v>
      </c>
      <c r="G13">
        <v>9</v>
      </c>
      <c r="H13">
        <v>4</v>
      </c>
      <c r="I13">
        <v>0</v>
      </c>
      <c r="J13">
        <v>4</v>
      </c>
      <c r="K13">
        <v>1.4</v>
      </c>
      <c r="L13" s="1">
        <v>241856</v>
      </c>
      <c r="M13">
        <v>0.9</v>
      </c>
      <c r="N13">
        <v>0.2</v>
      </c>
      <c r="O13" s="1">
        <v>26873</v>
      </c>
      <c r="R13" t="s">
        <v>406</v>
      </c>
      <c r="S13" s="6">
        <f t="shared" si="0"/>
        <v>257758</v>
      </c>
    </row>
    <row r="14" spans="1:19" x14ac:dyDescent="0.45">
      <c r="A14">
        <v>1</v>
      </c>
      <c r="B14">
        <v>0</v>
      </c>
      <c r="C14" t="s">
        <v>132</v>
      </c>
      <c r="D14" t="s">
        <v>234</v>
      </c>
      <c r="E14" t="s">
        <v>405</v>
      </c>
      <c r="F14">
        <v>119</v>
      </c>
      <c r="G14">
        <v>0</v>
      </c>
      <c r="H14">
        <v>0</v>
      </c>
      <c r="I14">
        <v>0</v>
      </c>
      <c r="J14">
        <v>0</v>
      </c>
      <c r="K14">
        <v>0</v>
      </c>
      <c r="L14" s="1">
        <v>192745</v>
      </c>
      <c r="M14">
        <v>0.7</v>
      </c>
      <c r="N14">
        <v>0.5</v>
      </c>
      <c r="O14" t="s">
        <v>473</v>
      </c>
      <c r="R14" t="s">
        <v>142</v>
      </c>
      <c r="S14" s="6">
        <f t="shared" si="0"/>
        <v>412267</v>
      </c>
    </row>
    <row r="15" spans="1:19" x14ac:dyDescent="0.45">
      <c r="A15">
        <v>0</v>
      </c>
      <c r="B15">
        <v>1</v>
      </c>
      <c r="C15" t="s">
        <v>132</v>
      </c>
      <c r="D15" t="s">
        <v>37</v>
      </c>
      <c r="E15" t="s">
        <v>409</v>
      </c>
      <c r="F15">
        <v>40</v>
      </c>
      <c r="G15">
        <v>3</v>
      </c>
      <c r="H15">
        <v>0</v>
      </c>
      <c r="I15">
        <v>1</v>
      </c>
      <c r="J15" t="s">
        <v>477</v>
      </c>
      <c r="K15">
        <v>0.5</v>
      </c>
      <c r="L15" s="1">
        <v>174838</v>
      </c>
      <c r="M15">
        <v>0.6</v>
      </c>
      <c r="N15" t="s">
        <v>478</v>
      </c>
      <c r="O15" s="1">
        <v>58279</v>
      </c>
      <c r="R15" t="s">
        <v>149</v>
      </c>
      <c r="S15" s="6">
        <f>B4</f>
        <v>373414</v>
      </c>
    </row>
    <row r="16" spans="1:19" x14ac:dyDescent="0.45">
      <c r="A16">
        <v>0</v>
      </c>
      <c r="B16">
        <v>0</v>
      </c>
      <c r="C16" t="s">
        <v>147</v>
      </c>
      <c r="D16" t="s">
        <v>32</v>
      </c>
      <c r="E16" t="s">
        <v>262</v>
      </c>
      <c r="F16">
        <v>18</v>
      </c>
      <c r="G16">
        <v>5</v>
      </c>
      <c r="H16">
        <v>1</v>
      </c>
      <c r="I16">
        <v>0</v>
      </c>
      <c r="J16">
        <v>1</v>
      </c>
      <c r="K16">
        <v>0.8</v>
      </c>
      <c r="L16" s="1">
        <v>174530</v>
      </c>
      <c r="M16">
        <v>0.6</v>
      </c>
      <c r="N16" t="s">
        <v>478</v>
      </c>
      <c r="O16" s="1">
        <v>34906</v>
      </c>
    </row>
    <row r="17" spans="1:19" x14ac:dyDescent="0.45">
      <c r="A17">
        <v>0</v>
      </c>
      <c r="B17">
        <v>0</v>
      </c>
      <c r="C17" t="s">
        <v>147</v>
      </c>
      <c r="D17" t="s">
        <v>177</v>
      </c>
      <c r="E17" t="s">
        <v>479</v>
      </c>
      <c r="F17">
        <v>18</v>
      </c>
      <c r="G17">
        <v>1</v>
      </c>
      <c r="H17">
        <v>0</v>
      </c>
      <c r="I17">
        <v>5</v>
      </c>
      <c r="J17" t="s">
        <v>480</v>
      </c>
      <c r="K17">
        <v>0.2</v>
      </c>
      <c r="L17" s="1">
        <v>127414</v>
      </c>
      <c r="M17">
        <v>0.5</v>
      </c>
      <c r="N17" t="s">
        <v>481</v>
      </c>
      <c r="O17" s="1">
        <v>127414</v>
      </c>
      <c r="R17" t="s">
        <v>147</v>
      </c>
      <c r="S17" s="6">
        <f t="shared" ref="S17" si="1">SUMIF($C$7:$C$51,R17,$L$7:$L$51)</f>
        <v>697717</v>
      </c>
    </row>
    <row r="18" spans="1:19" x14ac:dyDescent="0.45">
      <c r="A18">
        <v>0</v>
      </c>
      <c r="B18">
        <v>0</v>
      </c>
      <c r="C18" t="s">
        <v>147</v>
      </c>
      <c r="D18" t="s">
        <v>176</v>
      </c>
      <c r="E18" t="s">
        <v>482</v>
      </c>
      <c r="F18">
        <v>18</v>
      </c>
      <c r="G18">
        <v>3</v>
      </c>
      <c r="H18">
        <v>1</v>
      </c>
      <c r="I18">
        <v>1</v>
      </c>
      <c r="J18">
        <v>0</v>
      </c>
      <c r="K18">
        <v>0.5</v>
      </c>
      <c r="L18" s="1">
        <v>125626</v>
      </c>
      <c r="M18">
        <v>0.5</v>
      </c>
      <c r="N18" t="s">
        <v>478</v>
      </c>
      <c r="O18" s="1">
        <v>41875</v>
      </c>
      <c r="S18" s="9">
        <f>SUM(L5:L66)-S17</f>
        <v>26437698</v>
      </c>
    </row>
    <row r="19" spans="1:19" x14ac:dyDescent="0.45">
      <c r="A19">
        <v>0.5</v>
      </c>
      <c r="B19">
        <v>0.5</v>
      </c>
      <c r="C19" t="s">
        <v>132</v>
      </c>
      <c r="D19" t="s">
        <v>264</v>
      </c>
      <c r="E19" t="s">
        <v>473</v>
      </c>
      <c r="F19">
        <v>180</v>
      </c>
      <c r="G19">
        <v>1</v>
      </c>
      <c r="H19">
        <v>1</v>
      </c>
      <c r="I19">
        <v>0</v>
      </c>
      <c r="J19">
        <v>1</v>
      </c>
      <c r="K19">
        <v>0.2</v>
      </c>
      <c r="L19" s="1">
        <v>122416</v>
      </c>
      <c r="M19">
        <v>0.5</v>
      </c>
      <c r="N19">
        <v>0.1</v>
      </c>
      <c r="O19" s="1">
        <v>122416</v>
      </c>
    </row>
    <row r="20" spans="1:19" x14ac:dyDescent="0.45">
      <c r="A20">
        <v>0</v>
      </c>
      <c r="B20">
        <v>1</v>
      </c>
      <c r="C20" t="s">
        <v>132</v>
      </c>
      <c r="D20" t="s">
        <v>322</v>
      </c>
      <c r="E20" t="s">
        <v>483</v>
      </c>
      <c r="F20">
        <v>26</v>
      </c>
      <c r="G20">
        <v>1</v>
      </c>
      <c r="H20">
        <v>1</v>
      </c>
      <c r="I20">
        <v>0</v>
      </c>
      <c r="J20">
        <v>1</v>
      </c>
      <c r="K20">
        <v>0.2</v>
      </c>
      <c r="L20" s="1">
        <v>68094</v>
      </c>
      <c r="M20">
        <v>0.3</v>
      </c>
      <c r="N20" t="s">
        <v>473</v>
      </c>
      <c r="O20" s="1">
        <v>68094</v>
      </c>
    </row>
    <row r="21" spans="1:19" x14ac:dyDescent="0.45">
      <c r="A21">
        <v>0</v>
      </c>
      <c r="B21">
        <v>1</v>
      </c>
      <c r="C21" t="s">
        <v>132</v>
      </c>
      <c r="D21" t="s">
        <v>357</v>
      </c>
      <c r="E21" t="s">
        <v>484</v>
      </c>
      <c r="F21">
        <v>58</v>
      </c>
      <c r="G21">
        <v>0</v>
      </c>
      <c r="H21">
        <v>0</v>
      </c>
      <c r="I21">
        <v>0</v>
      </c>
      <c r="J21">
        <v>0</v>
      </c>
      <c r="K21">
        <v>0</v>
      </c>
      <c r="L21" s="1">
        <v>43514</v>
      </c>
      <c r="M21">
        <v>0.2</v>
      </c>
      <c r="N21" t="s">
        <v>478</v>
      </c>
      <c r="O21" t="s">
        <v>473</v>
      </c>
    </row>
    <row r="22" spans="1:19" x14ac:dyDescent="0.45">
      <c r="A22">
        <v>1</v>
      </c>
      <c r="B22">
        <v>0</v>
      </c>
      <c r="C22" t="s">
        <v>132</v>
      </c>
      <c r="D22" t="s">
        <v>485</v>
      </c>
      <c r="E22" t="s">
        <v>486</v>
      </c>
      <c r="F22">
        <v>65</v>
      </c>
      <c r="G22">
        <v>0</v>
      </c>
      <c r="H22">
        <v>0</v>
      </c>
      <c r="I22">
        <v>0</v>
      </c>
      <c r="J22">
        <v>0</v>
      </c>
      <c r="K22">
        <v>0</v>
      </c>
      <c r="L22" s="1">
        <v>40607</v>
      </c>
      <c r="M22">
        <v>0.1</v>
      </c>
      <c r="N22" t="s">
        <v>473</v>
      </c>
      <c r="O22" t="s">
        <v>473</v>
      </c>
    </row>
    <row r="23" spans="1:19" x14ac:dyDescent="0.45">
      <c r="A23">
        <v>0</v>
      </c>
      <c r="B23">
        <v>0</v>
      </c>
      <c r="C23" t="s">
        <v>147</v>
      </c>
      <c r="D23" t="s">
        <v>42</v>
      </c>
      <c r="E23" t="s">
        <v>316</v>
      </c>
      <c r="F23">
        <v>12</v>
      </c>
      <c r="G23">
        <v>0</v>
      </c>
      <c r="H23">
        <v>0</v>
      </c>
      <c r="I23">
        <v>0</v>
      </c>
      <c r="J23">
        <v>0</v>
      </c>
      <c r="K23">
        <v>0</v>
      </c>
      <c r="L23" s="1">
        <v>28291</v>
      </c>
      <c r="M23">
        <v>0.1</v>
      </c>
      <c r="N23">
        <v>0</v>
      </c>
      <c r="O23" t="s">
        <v>473</v>
      </c>
    </row>
    <row r="24" spans="1:19" x14ac:dyDescent="0.45">
      <c r="A24">
        <v>0</v>
      </c>
      <c r="B24">
        <v>1</v>
      </c>
      <c r="C24" t="s">
        <v>132</v>
      </c>
      <c r="D24" t="s">
        <v>406</v>
      </c>
      <c r="E24" t="s">
        <v>487</v>
      </c>
      <c r="F24">
        <v>19</v>
      </c>
      <c r="G24">
        <v>0</v>
      </c>
      <c r="H24">
        <v>0</v>
      </c>
      <c r="I24">
        <v>0</v>
      </c>
      <c r="J24">
        <v>0</v>
      </c>
      <c r="K24">
        <v>0</v>
      </c>
      <c r="L24" s="1">
        <v>25760</v>
      </c>
      <c r="M24">
        <v>0.1</v>
      </c>
      <c r="N24">
        <v>0.1</v>
      </c>
      <c r="O24" t="s">
        <v>473</v>
      </c>
    </row>
    <row r="25" spans="1:19" x14ac:dyDescent="0.45">
      <c r="A25">
        <v>0</v>
      </c>
      <c r="B25">
        <v>0</v>
      </c>
      <c r="C25" t="s">
        <v>132</v>
      </c>
      <c r="D25" t="s">
        <v>284</v>
      </c>
      <c r="E25" t="s">
        <v>285</v>
      </c>
      <c r="F25">
        <v>49</v>
      </c>
      <c r="G25">
        <v>0</v>
      </c>
      <c r="H25">
        <v>0</v>
      </c>
      <c r="I25">
        <v>0</v>
      </c>
      <c r="J25">
        <v>0</v>
      </c>
      <c r="K25">
        <v>0</v>
      </c>
      <c r="L25" s="1">
        <v>20167</v>
      </c>
      <c r="M25">
        <v>0.1</v>
      </c>
      <c r="N25">
        <v>0</v>
      </c>
      <c r="O25" t="s">
        <v>473</v>
      </c>
    </row>
    <row r="26" spans="1:19" x14ac:dyDescent="0.45">
      <c r="A26">
        <v>0</v>
      </c>
      <c r="B26">
        <v>0</v>
      </c>
      <c r="C26" t="s">
        <v>132</v>
      </c>
      <c r="D26" t="s">
        <v>186</v>
      </c>
      <c r="E26" t="s">
        <v>488</v>
      </c>
      <c r="F26">
        <v>14</v>
      </c>
      <c r="G26">
        <v>0</v>
      </c>
      <c r="H26">
        <v>0</v>
      </c>
      <c r="I26">
        <v>0</v>
      </c>
      <c r="J26">
        <v>0</v>
      </c>
      <c r="K26">
        <v>0</v>
      </c>
      <c r="L26" s="1">
        <v>19068</v>
      </c>
      <c r="M26">
        <v>0.1</v>
      </c>
      <c r="N26">
        <v>0</v>
      </c>
      <c r="O26" t="s">
        <v>473</v>
      </c>
    </row>
    <row r="27" spans="1:19" x14ac:dyDescent="0.45">
      <c r="A27">
        <v>0</v>
      </c>
      <c r="B27">
        <v>0</v>
      </c>
      <c r="C27" t="s">
        <v>132</v>
      </c>
      <c r="D27" t="s">
        <v>418</v>
      </c>
      <c r="E27" t="s">
        <v>419</v>
      </c>
      <c r="F27">
        <v>1</v>
      </c>
      <c r="G27">
        <v>1</v>
      </c>
      <c r="H27">
        <v>0</v>
      </c>
      <c r="I27">
        <v>0</v>
      </c>
      <c r="J27">
        <v>0</v>
      </c>
      <c r="K27">
        <v>0.2</v>
      </c>
      <c r="L27" s="1">
        <v>18739</v>
      </c>
      <c r="M27">
        <v>0.1</v>
      </c>
      <c r="N27">
        <v>0</v>
      </c>
      <c r="O27" s="1">
        <v>18739</v>
      </c>
    </row>
    <row r="28" spans="1:19" x14ac:dyDescent="0.45">
      <c r="A28">
        <v>0</v>
      </c>
      <c r="B28">
        <v>0</v>
      </c>
      <c r="C28" t="s">
        <v>132</v>
      </c>
      <c r="D28" t="s">
        <v>181</v>
      </c>
      <c r="E28" t="s">
        <v>473</v>
      </c>
      <c r="F28">
        <v>1</v>
      </c>
      <c r="G28">
        <v>1</v>
      </c>
      <c r="H28">
        <v>0</v>
      </c>
      <c r="I28">
        <v>0</v>
      </c>
      <c r="J28">
        <v>0</v>
      </c>
      <c r="K28">
        <v>0.2</v>
      </c>
      <c r="L28" s="1">
        <v>15153</v>
      </c>
      <c r="M28">
        <v>0.1</v>
      </c>
      <c r="N28">
        <v>0</v>
      </c>
      <c r="O28" s="1">
        <v>15153</v>
      </c>
    </row>
    <row r="29" spans="1:19" x14ac:dyDescent="0.45">
      <c r="A29">
        <v>0</v>
      </c>
      <c r="B29">
        <v>0</v>
      </c>
      <c r="C29" t="s">
        <v>132</v>
      </c>
      <c r="D29" t="s">
        <v>202</v>
      </c>
      <c r="E29" t="s">
        <v>91</v>
      </c>
      <c r="F29">
        <v>24</v>
      </c>
      <c r="G29">
        <v>0</v>
      </c>
      <c r="H29">
        <v>0</v>
      </c>
      <c r="I29">
        <v>0</v>
      </c>
      <c r="J29">
        <v>0</v>
      </c>
      <c r="K29">
        <v>0</v>
      </c>
      <c r="L29" s="1">
        <v>15149</v>
      </c>
      <c r="M29">
        <v>0.1</v>
      </c>
      <c r="N29" t="s">
        <v>473</v>
      </c>
      <c r="O29" t="s">
        <v>473</v>
      </c>
    </row>
    <row r="30" spans="1:19" x14ac:dyDescent="0.45">
      <c r="A30">
        <v>0</v>
      </c>
      <c r="B30">
        <v>0</v>
      </c>
      <c r="C30" t="s">
        <v>132</v>
      </c>
      <c r="D30" t="s">
        <v>430</v>
      </c>
      <c r="E30" t="s">
        <v>431</v>
      </c>
      <c r="F30">
        <v>17</v>
      </c>
      <c r="G30">
        <v>0</v>
      </c>
      <c r="H30">
        <v>0</v>
      </c>
      <c r="I30">
        <v>0</v>
      </c>
      <c r="J30">
        <v>0</v>
      </c>
      <c r="K30">
        <v>0</v>
      </c>
      <c r="L30" s="1">
        <v>9398</v>
      </c>
      <c r="M30">
        <v>0</v>
      </c>
      <c r="N30" t="s">
        <v>473</v>
      </c>
      <c r="O30" t="s">
        <v>473</v>
      </c>
    </row>
    <row r="31" spans="1:19" x14ac:dyDescent="0.45">
      <c r="A31">
        <v>0</v>
      </c>
      <c r="B31">
        <v>0</v>
      </c>
      <c r="C31" t="s">
        <v>132</v>
      </c>
      <c r="D31" t="s">
        <v>344</v>
      </c>
      <c r="E31" t="s">
        <v>489</v>
      </c>
      <c r="F31">
        <v>13</v>
      </c>
      <c r="G31">
        <v>0</v>
      </c>
      <c r="H31">
        <v>0</v>
      </c>
      <c r="I31">
        <v>0</v>
      </c>
      <c r="J31">
        <v>0</v>
      </c>
      <c r="K31">
        <v>0</v>
      </c>
      <c r="L31" s="1">
        <v>8079</v>
      </c>
      <c r="M31">
        <v>0</v>
      </c>
      <c r="N31" t="s">
        <v>473</v>
      </c>
      <c r="O31" t="s">
        <v>473</v>
      </c>
    </row>
    <row r="32" spans="1:19" x14ac:dyDescent="0.45">
      <c r="A32">
        <v>0</v>
      </c>
      <c r="B32">
        <v>0</v>
      </c>
      <c r="C32" t="s">
        <v>132</v>
      </c>
      <c r="D32" t="s">
        <v>490</v>
      </c>
      <c r="E32" t="s">
        <v>491</v>
      </c>
      <c r="F32">
        <v>21</v>
      </c>
      <c r="G32">
        <v>0</v>
      </c>
      <c r="H32">
        <v>0</v>
      </c>
      <c r="I32">
        <v>0</v>
      </c>
      <c r="J32">
        <v>0</v>
      </c>
      <c r="K32">
        <v>0</v>
      </c>
      <c r="L32" s="1">
        <v>6950</v>
      </c>
      <c r="M32">
        <v>0</v>
      </c>
      <c r="N32">
        <v>0</v>
      </c>
      <c r="O32" t="s">
        <v>473</v>
      </c>
    </row>
    <row r="33" spans="1:15" x14ac:dyDescent="0.45">
      <c r="A33">
        <v>0</v>
      </c>
      <c r="B33">
        <v>0</v>
      </c>
      <c r="C33" t="s">
        <v>132</v>
      </c>
      <c r="D33" t="s">
        <v>84</v>
      </c>
      <c r="E33" t="s">
        <v>85</v>
      </c>
      <c r="F33">
        <v>19</v>
      </c>
      <c r="G33">
        <v>0</v>
      </c>
      <c r="H33">
        <v>0</v>
      </c>
      <c r="I33">
        <v>0</v>
      </c>
      <c r="J33">
        <v>0</v>
      </c>
      <c r="K33">
        <v>0</v>
      </c>
      <c r="L33" s="1">
        <v>6311</v>
      </c>
      <c r="M33">
        <v>0</v>
      </c>
      <c r="N33">
        <v>0</v>
      </c>
      <c r="O33" t="s">
        <v>473</v>
      </c>
    </row>
    <row r="34" spans="1:15" x14ac:dyDescent="0.45">
      <c r="A34">
        <v>0</v>
      </c>
      <c r="B34">
        <v>0</v>
      </c>
      <c r="C34" t="s">
        <v>132</v>
      </c>
      <c r="D34" t="s">
        <v>492</v>
      </c>
      <c r="E34" t="s">
        <v>493</v>
      </c>
      <c r="F34">
        <v>3</v>
      </c>
      <c r="G34">
        <v>0</v>
      </c>
      <c r="H34">
        <v>0</v>
      </c>
      <c r="I34">
        <v>0</v>
      </c>
      <c r="J34">
        <v>0</v>
      </c>
      <c r="K34">
        <v>0</v>
      </c>
      <c r="L34" s="1">
        <v>5984</v>
      </c>
      <c r="M34">
        <v>0</v>
      </c>
      <c r="N34" t="s">
        <v>473</v>
      </c>
      <c r="O34" t="s">
        <v>473</v>
      </c>
    </row>
    <row r="35" spans="1:15" x14ac:dyDescent="0.45">
      <c r="A35">
        <v>0</v>
      </c>
      <c r="B35">
        <v>0</v>
      </c>
      <c r="C35" t="s">
        <v>132</v>
      </c>
      <c r="D35" t="s">
        <v>494</v>
      </c>
      <c r="E35" t="s">
        <v>416</v>
      </c>
      <c r="F35">
        <v>10</v>
      </c>
      <c r="G35">
        <v>0</v>
      </c>
      <c r="H35">
        <v>0</v>
      </c>
      <c r="I35">
        <v>0</v>
      </c>
      <c r="J35">
        <v>0</v>
      </c>
      <c r="K35">
        <v>0</v>
      </c>
      <c r="L35" s="1">
        <v>4004</v>
      </c>
      <c r="M35">
        <v>0</v>
      </c>
      <c r="N35" t="s">
        <v>473</v>
      </c>
      <c r="O35" t="s">
        <v>473</v>
      </c>
    </row>
    <row r="36" spans="1:15" x14ac:dyDescent="0.45">
      <c r="A36">
        <v>0</v>
      </c>
      <c r="B36">
        <v>0</v>
      </c>
      <c r="C36" t="s">
        <v>132</v>
      </c>
      <c r="D36" t="s">
        <v>205</v>
      </c>
      <c r="E36" t="s">
        <v>206</v>
      </c>
      <c r="F36">
        <v>4</v>
      </c>
      <c r="G36">
        <v>0</v>
      </c>
      <c r="H36">
        <v>0</v>
      </c>
      <c r="I36">
        <v>0</v>
      </c>
      <c r="J36">
        <v>0</v>
      </c>
      <c r="K36">
        <v>0</v>
      </c>
      <c r="L36" s="1">
        <v>3552</v>
      </c>
      <c r="M36">
        <v>0</v>
      </c>
      <c r="N36">
        <v>0</v>
      </c>
      <c r="O36" t="s">
        <v>473</v>
      </c>
    </row>
    <row r="37" spans="1:15" x14ac:dyDescent="0.45">
      <c r="A37">
        <v>0</v>
      </c>
      <c r="B37">
        <v>0</v>
      </c>
      <c r="C37" t="s">
        <v>132</v>
      </c>
      <c r="D37" t="s">
        <v>495</v>
      </c>
      <c r="E37" t="s">
        <v>496</v>
      </c>
      <c r="F37">
        <v>6</v>
      </c>
      <c r="G37">
        <v>0</v>
      </c>
      <c r="H37">
        <v>0</v>
      </c>
      <c r="I37">
        <v>0</v>
      </c>
      <c r="J37">
        <v>0</v>
      </c>
      <c r="K37">
        <v>0</v>
      </c>
      <c r="L37" s="1">
        <v>3461</v>
      </c>
      <c r="M37">
        <v>0</v>
      </c>
      <c r="N37" t="s">
        <v>473</v>
      </c>
      <c r="O37" t="s">
        <v>473</v>
      </c>
    </row>
    <row r="38" spans="1:15" x14ac:dyDescent="0.45">
      <c r="A38">
        <v>0</v>
      </c>
      <c r="B38">
        <v>0</v>
      </c>
      <c r="C38" t="s">
        <v>132</v>
      </c>
      <c r="D38" t="s">
        <v>192</v>
      </c>
      <c r="E38" t="s">
        <v>427</v>
      </c>
      <c r="F38">
        <v>9</v>
      </c>
      <c r="G38">
        <v>0</v>
      </c>
      <c r="H38">
        <v>0</v>
      </c>
      <c r="I38">
        <v>0</v>
      </c>
      <c r="J38">
        <v>0</v>
      </c>
      <c r="K38">
        <v>0</v>
      </c>
      <c r="L38" s="1">
        <v>3291</v>
      </c>
      <c r="M38">
        <v>0</v>
      </c>
      <c r="N38" t="s">
        <v>473</v>
      </c>
      <c r="O38" t="s">
        <v>473</v>
      </c>
    </row>
    <row r="39" spans="1:15" x14ac:dyDescent="0.45">
      <c r="A39">
        <v>0</v>
      </c>
      <c r="B39">
        <v>0</v>
      </c>
      <c r="C39" t="s">
        <v>132</v>
      </c>
      <c r="D39" t="s">
        <v>497</v>
      </c>
      <c r="E39" t="s">
        <v>498</v>
      </c>
      <c r="F39">
        <v>23</v>
      </c>
      <c r="G39">
        <v>0</v>
      </c>
      <c r="H39">
        <v>0</v>
      </c>
      <c r="I39">
        <v>0</v>
      </c>
      <c r="J39">
        <v>0</v>
      </c>
      <c r="K39">
        <v>0</v>
      </c>
      <c r="L39" s="1">
        <v>2463</v>
      </c>
      <c r="M39">
        <v>0</v>
      </c>
      <c r="N39" t="s">
        <v>473</v>
      </c>
      <c r="O39" t="s">
        <v>473</v>
      </c>
    </row>
    <row r="40" spans="1:15" x14ac:dyDescent="0.45">
      <c r="A40">
        <v>0</v>
      </c>
      <c r="B40">
        <v>0</v>
      </c>
      <c r="C40" t="s">
        <v>132</v>
      </c>
      <c r="D40" t="s">
        <v>499</v>
      </c>
      <c r="E40" t="s">
        <v>500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 s="1">
        <v>2365</v>
      </c>
      <c r="M40">
        <v>0</v>
      </c>
      <c r="N40" t="s">
        <v>473</v>
      </c>
      <c r="O40" t="s">
        <v>473</v>
      </c>
    </row>
    <row r="41" spans="1:15" x14ac:dyDescent="0.45">
      <c r="A41">
        <v>0</v>
      </c>
      <c r="B41">
        <v>0</v>
      </c>
      <c r="C41" t="s">
        <v>132</v>
      </c>
      <c r="D41" t="s">
        <v>82</v>
      </c>
      <c r="E41" t="s">
        <v>501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 s="1">
        <v>2292</v>
      </c>
      <c r="M41">
        <v>0</v>
      </c>
      <c r="N41" t="s">
        <v>473</v>
      </c>
      <c r="O41" t="s">
        <v>473</v>
      </c>
    </row>
    <row r="42" spans="1:15" x14ac:dyDescent="0.45">
      <c r="A42">
        <v>0</v>
      </c>
      <c r="B42">
        <v>0</v>
      </c>
      <c r="C42" t="s">
        <v>132</v>
      </c>
      <c r="D42" t="s">
        <v>359</v>
      </c>
      <c r="E42" t="s">
        <v>360</v>
      </c>
      <c r="F42">
        <v>5</v>
      </c>
      <c r="G42">
        <v>0</v>
      </c>
      <c r="H42">
        <v>0</v>
      </c>
      <c r="I42">
        <v>0</v>
      </c>
      <c r="J42">
        <v>0</v>
      </c>
      <c r="K42">
        <v>0</v>
      </c>
      <c r="L42" s="1">
        <v>1978</v>
      </c>
      <c r="M42">
        <v>0</v>
      </c>
      <c r="N42" t="s">
        <v>473</v>
      </c>
      <c r="O42" t="s">
        <v>473</v>
      </c>
    </row>
    <row r="43" spans="1:15" x14ac:dyDescent="0.45">
      <c r="A43">
        <v>0</v>
      </c>
      <c r="B43">
        <v>0</v>
      </c>
      <c r="C43" t="s">
        <v>132</v>
      </c>
      <c r="D43" t="s">
        <v>502</v>
      </c>
      <c r="E43" t="s">
        <v>503</v>
      </c>
      <c r="F43">
        <v>2</v>
      </c>
      <c r="G43">
        <v>0</v>
      </c>
      <c r="H43">
        <v>0</v>
      </c>
      <c r="I43">
        <v>0</v>
      </c>
      <c r="J43">
        <v>0</v>
      </c>
      <c r="K43">
        <v>0</v>
      </c>
      <c r="L43" s="1">
        <v>1850</v>
      </c>
      <c r="M43">
        <v>0</v>
      </c>
      <c r="N43" t="s">
        <v>473</v>
      </c>
      <c r="O43" t="s">
        <v>473</v>
      </c>
    </row>
    <row r="44" spans="1:15" x14ac:dyDescent="0.45">
      <c r="A44">
        <v>0</v>
      </c>
      <c r="B44">
        <v>0</v>
      </c>
      <c r="C44" t="s">
        <v>132</v>
      </c>
      <c r="D44" t="s">
        <v>288</v>
      </c>
      <c r="E44" t="s">
        <v>504</v>
      </c>
      <c r="F44">
        <v>6</v>
      </c>
      <c r="G44">
        <v>0</v>
      </c>
      <c r="H44">
        <v>0</v>
      </c>
      <c r="I44">
        <v>0</v>
      </c>
      <c r="J44">
        <v>0</v>
      </c>
      <c r="K44">
        <v>0</v>
      </c>
      <c r="L44" s="1">
        <v>1669</v>
      </c>
      <c r="M44">
        <v>0</v>
      </c>
      <c r="N44">
        <v>0</v>
      </c>
      <c r="O44" t="s">
        <v>473</v>
      </c>
    </row>
    <row r="45" spans="1:15" x14ac:dyDescent="0.45">
      <c r="A45">
        <v>0</v>
      </c>
      <c r="B45">
        <v>0</v>
      </c>
      <c r="C45" t="s">
        <v>132</v>
      </c>
      <c r="D45" t="s">
        <v>505</v>
      </c>
      <c r="E45" t="s">
        <v>506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 s="1">
        <v>1649</v>
      </c>
      <c r="M45">
        <v>0</v>
      </c>
      <c r="N45" t="s">
        <v>473</v>
      </c>
      <c r="O45" t="s">
        <v>473</v>
      </c>
    </row>
    <row r="46" spans="1:15" x14ac:dyDescent="0.45">
      <c r="A46">
        <v>0</v>
      </c>
      <c r="B46">
        <v>0</v>
      </c>
      <c r="C46" t="s">
        <v>132</v>
      </c>
      <c r="D46" t="s">
        <v>507</v>
      </c>
      <c r="E46" t="s">
        <v>508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 s="1">
        <v>1266</v>
      </c>
      <c r="M46">
        <v>0</v>
      </c>
      <c r="N46">
        <v>0</v>
      </c>
      <c r="O46" t="s">
        <v>473</v>
      </c>
    </row>
    <row r="47" spans="1:15" x14ac:dyDescent="0.45">
      <c r="A47">
        <v>0</v>
      </c>
      <c r="B47">
        <v>0</v>
      </c>
      <c r="C47" t="s">
        <v>132</v>
      </c>
      <c r="D47" t="s">
        <v>232</v>
      </c>
      <c r="E47" t="s">
        <v>287</v>
      </c>
      <c r="F47">
        <v>10</v>
      </c>
      <c r="G47">
        <v>0</v>
      </c>
      <c r="H47">
        <v>0</v>
      </c>
      <c r="I47">
        <v>0</v>
      </c>
      <c r="J47">
        <v>0</v>
      </c>
      <c r="K47">
        <v>0</v>
      </c>
      <c r="L47" s="1">
        <v>1241</v>
      </c>
      <c r="M47">
        <v>0</v>
      </c>
      <c r="N47">
        <v>0</v>
      </c>
      <c r="O47" t="s">
        <v>473</v>
      </c>
    </row>
    <row r="48" spans="1:15" x14ac:dyDescent="0.45">
      <c r="A48">
        <v>0</v>
      </c>
      <c r="B48">
        <v>0</v>
      </c>
      <c r="C48" t="s">
        <v>132</v>
      </c>
      <c r="D48" t="s">
        <v>509</v>
      </c>
      <c r="E48" t="s">
        <v>510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 s="1">
        <v>1224</v>
      </c>
      <c r="M48">
        <v>0</v>
      </c>
      <c r="N48" t="s">
        <v>473</v>
      </c>
      <c r="O48" t="s">
        <v>473</v>
      </c>
    </row>
    <row r="49" spans="1:15" x14ac:dyDescent="0.45">
      <c r="A49">
        <v>0</v>
      </c>
      <c r="B49">
        <v>0</v>
      </c>
      <c r="C49" t="s">
        <v>132</v>
      </c>
      <c r="D49" t="s">
        <v>444</v>
      </c>
      <c r="E49" t="s">
        <v>106</v>
      </c>
      <c r="F49">
        <v>6</v>
      </c>
      <c r="G49">
        <v>0</v>
      </c>
      <c r="H49">
        <v>0</v>
      </c>
      <c r="I49">
        <v>0</v>
      </c>
      <c r="J49">
        <v>0</v>
      </c>
      <c r="K49">
        <v>0</v>
      </c>
      <c r="L49" s="1">
        <v>1124</v>
      </c>
      <c r="M49">
        <v>0</v>
      </c>
      <c r="N49">
        <v>0</v>
      </c>
      <c r="O49" t="s">
        <v>473</v>
      </c>
    </row>
    <row r="50" spans="1:15" x14ac:dyDescent="0.45">
      <c r="A50">
        <v>0</v>
      </c>
      <c r="B50">
        <v>0</v>
      </c>
      <c r="C50" t="s">
        <v>132</v>
      </c>
      <c r="D50" t="s">
        <v>499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 s="1">
        <v>1118</v>
      </c>
      <c r="M50">
        <v>0</v>
      </c>
      <c r="N50" t="s">
        <v>473</v>
      </c>
      <c r="O50" t="s">
        <v>473</v>
      </c>
    </row>
    <row r="51" spans="1:15" x14ac:dyDescent="0.45">
      <c r="A51">
        <v>0</v>
      </c>
      <c r="B51">
        <v>0</v>
      </c>
      <c r="C51" t="s">
        <v>132</v>
      </c>
      <c r="D51" t="s">
        <v>511</v>
      </c>
      <c r="E51" t="s">
        <v>512</v>
      </c>
      <c r="F51">
        <v>3</v>
      </c>
      <c r="G51">
        <v>0</v>
      </c>
      <c r="H51">
        <v>0</v>
      </c>
      <c r="I51">
        <v>0</v>
      </c>
      <c r="J51">
        <v>0</v>
      </c>
      <c r="K51">
        <v>0</v>
      </c>
      <c r="L51" s="1">
        <v>1036</v>
      </c>
      <c r="M51">
        <v>0</v>
      </c>
      <c r="N51" t="s">
        <v>473</v>
      </c>
      <c r="O51" t="s">
        <v>473</v>
      </c>
    </row>
    <row r="52" spans="1:15" x14ac:dyDescent="0.45">
      <c r="A52">
        <v>0</v>
      </c>
      <c r="B52">
        <v>0</v>
      </c>
      <c r="C52" t="s">
        <v>132</v>
      </c>
      <c r="D52" t="s">
        <v>513</v>
      </c>
      <c r="E52" t="s">
        <v>514</v>
      </c>
      <c r="F52">
        <v>2</v>
      </c>
      <c r="G52">
        <v>0</v>
      </c>
      <c r="H52">
        <v>0</v>
      </c>
      <c r="I52">
        <v>0</v>
      </c>
      <c r="J52">
        <v>0</v>
      </c>
      <c r="K52">
        <v>0</v>
      </c>
      <c r="L52" s="1">
        <v>1017</v>
      </c>
      <c r="M52">
        <v>0</v>
      </c>
      <c r="N52" t="s">
        <v>473</v>
      </c>
      <c r="O52" t="s">
        <v>473</v>
      </c>
    </row>
    <row r="53" spans="1:15" x14ac:dyDescent="0.45">
      <c r="A53">
        <v>0</v>
      </c>
      <c r="B53">
        <v>0</v>
      </c>
      <c r="C53" t="s">
        <v>132</v>
      </c>
      <c r="D53" t="s">
        <v>515</v>
      </c>
      <c r="E53" t="s">
        <v>516</v>
      </c>
      <c r="F53">
        <v>2</v>
      </c>
      <c r="G53">
        <v>0</v>
      </c>
      <c r="H53">
        <v>0</v>
      </c>
      <c r="I53">
        <v>0</v>
      </c>
      <c r="J53">
        <v>0</v>
      </c>
      <c r="K53">
        <v>0</v>
      </c>
      <c r="L53" s="1">
        <v>1006</v>
      </c>
      <c r="M53">
        <v>0</v>
      </c>
      <c r="N53" t="s">
        <v>473</v>
      </c>
      <c r="O53" t="s">
        <v>473</v>
      </c>
    </row>
    <row r="54" spans="1:15" x14ac:dyDescent="0.45">
      <c r="A54">
        <v>0</v>
      </c>
      <c r="B54">
        <v>0</v>
      </c>
      <c r="C54" t="s">
        <v>132</v>
      </c>
      <c r="D54" t="s">
        <v>517</v>
      </c>
      <c r="E54" t="s">
        <v>518</v>
      </c>
      <c r="F54">
        <v>2</v>
      </c>
      <c r="G54">
        <v>0</v>
      </c>
      <c r="H54">
        <v>0</v>
      </c>
      <c r="I54">
        <v>0</v>
      </c>
      <c r="J54">
        <v>0</v>
      </c>
      <c r="K54">
        <v>0</v>
      </c>
      <c r="L54">
        <v>932</v>
      </c>
      <c r="M54">
        <v>0</v>
      </c>
      <c r="N54" t="s">
        <v>473</v>
      </c>
      <c r="O54" t="s">
        <v>473</v>
      </c>
    </row>
    <row r="55" spans="1:15" x14ac:dyDescent="0.45">
      <c r="A55">
        <v>0</v>
      </c>
      <c r="B55">
        <v>0</v>
      </c>
      <c r="C55" t="s">
        <v>132</v>
      </c>
      <c r="D55" t="s">
        <v>519</v>
      </c>
      <c r="E55" t="s">
        <v>520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892</v>
      </c>
      <c r="M55">
        <v>0</v>
      </c>
      <c r="N55" t="s">
        <v>473</v>
      </c>
      <c r="O55" t="s">
        <v>473</v>
      </c>
    </row>
    <row r="56" spans="1:15" x14ac:dyDescent="0.45">
      <c r="A56">
        <v>0</v>
      </c>
      <c r="B56">
        <v>0</v>
      </c>
      <c r="C56" t="s">
        <v>132</v>
      </c>
      <c r="D56" t="s">
        <v>445</v>
      </c>
      <c r="E56" t="s">
        <v>446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770</v>
      </c>
      <c r="M56">
        <v>0</v>
      </c>
      <c r="N56" t="s">
        <v>473</v>
      </c>
      <c r="O56" t="s">
        <v>473</v>
      </c>
    </row>
    <row r="57" spans="1:15" x14ac:dyDescent="0.45">
      <c r="A57">
        <v>0</v>
      </c>
      <c r="B57">
        <v>0</v>
      </c>
      <c r="C57" t="s">
        <v>132</v>
      </c>
      <c r="D57" t="s">
        <v>521</v>
      </c>
      <c r="E57" t="s">
        <v>522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763</v>
      </c>
      <c r="M57">
        <v>0</v>
      </c>
      <c r="N57" t="s">
        <v>473</v>
      </c>
      <c r="O57" t="s">
        <v>473</v>
      </c>
    </row>
    <row r="58" spans="1:15" x14ac:dyDescent="0.45">
      <c r="A58">
        <v>0</v>
      </c>
      <c r="B58">
        <v>0</v>
      </c>
      <c r="C58" t="s">
        <v>132</v>
      </c>
      <c r="D58" t="s">
        <v>523</v>
      </c>
      <c r="E58" t="s">
        <v>524</v>
      </c>
      <c r="F58">
        <v>3</v>
      </c>
      <c r="G58">
        <v>0</v>
      </c>
      <c r="H58">
        <v>0</v>
      </c>
      <c r="I58">
        <v>0</v>
      </c>
      <c r="J58">
        <v>0</v>
      </c>
      <c r="K58">
        <v>0</v>
      </c>
      <c r="L58">
        <v>743</v>
      </c>
      <c r="M58">
        <v>0</v>
      </c>
      <c r="N58" t="s">
        <v>473</v>
      </c>
      <c r="O58" t="s">
        <v>473</v>
      </c>
    </row>
    <row r="59" spans="1:15" x14ac:dyDescent="0.45">
      <c r="A59">
        <v>0</v>
      </c>
      <c r="B59">
        <v>0</v>
      </c>
      <c r="C59" t="s">
        <v>132</v>
      </c>
      <c r="D59" t="s">
        <v>525</v>
      </c>
      <c r="E59" t="s">
        <v>526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716</v>
      </c>
      <c r="M59">
        <v>0</v>
      </c>
      <c r="N59" t="s">
        <v>473</v>
      </c>
      <c r="O59" t="s">
        <v>473</v>
      </c>
    </row>
    <row r="60" spans="1:15" x14ac:dyDescent="0.45">
      <c r="A60">
        <v>0</v>
      </c>
      <c r="B60">
        <v>0</v>
      </c>
      <c r="C60" t="s">
        <v>132</v>
      </c>
      <c r="D60" t="s">
        <v>527</v>
      </c>
      <c r="E60" t="s">
        <v>528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678</v>
      </c>
      <c r="M60">
        <v>0</v>
      </c>
      <c r="N60" t="s">
        <v>473</v>
      </c>
      <c r="O60" t="s">
        <v>473</v>
      </c>
    </row>
    <row r="61" spans="1:15" x14ac:dyDescent="0.45">
      <c r="A61">
        <v>0</v>
      </c>
      <c r="B61">
        <v>0</v>
      </c>
      <c r="C61" t="s">
        <v>132</v>
      </c>
      <c r="D61" t="s">
        <v>447</v>
      </c>
      <c r="E61" t="s">
        <v>529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654</v>
      </c>
      <c r="M61">
        <v>0</v>
      </c>
      <c r="N61" t="s">
        <v>473</v>
      </c>
      <c r="O61" t="s">
        <v>473</v>
      </c>
    </row>
    <row r="62" spans="1:15" x14ac:dyDescent="0.45">
      <c r="A62">
        <v>0</v>
      </c>
      <c r="B62">
        <v>0</v>
      </c>
      <c r="C62" t="s">
        <v>132</v>
      </c>
      <c r="D62" t="s">
        <v>530</v>
      </c>
      <c r="E62" t="s">
        <v>520</v>
      </c>
      <c r="F62">
        <v>2</v>
      </c>
      <c r="G62">
        <v>0</v>
      </c>
      <c r="H62">
        <v>0</v>
      </c>
      <c r="I62">
        <v>0</v>
      </c>
      <c r="J62">
        <v>0</v>
      </c>
      <c r="K62">
        <v>0</v>
      </c>
      <c r="L62">
        <v>581</v>
      </c>
      <c r="M62">
        <v>0</v>
      </c>
      <c r="N62" t="s">
        <v>473</v>
      </c>
      <c r="O62" t="s">
        <v>473</v>
      </c>
    </row>
    <row r="63" spans="1:15" x14ac:dyDescent="0.45">
      <c r="A63">
        <v>0</v>
      </c>
      <c r="B63">
        <v>0</v>
      </c>
      <c r="C63" t="s">
        <v>132</v>
      </c>
      <c r="D63" t="s">
        <v>531</v>
      </c>
      <c r="E63" t="s">
        <v>532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570</v>
      </c>
      <c r="M63">
        <v>0</v>
      </c>
      <c r="N63" t="s">
        <v>473</v>
      </c>
      <c r="O63" t="s">
        <v>473</v>
      </c>
    </row>
    <row r="64" spans="1:15" x14ac:dyDescent="0.45">
      <c r="A64">
        <v>0</v>
      </c>
      <c r="B64">
        <v>0</v>
      </c>
      <c r="C64" t="s">
        <v>132</v>
      </c>
      <c r="D64" t="s">
        <v>533</v>
      </c>
      <c r="E64" t="s">
        <v>534</v>
      </c>
      <c r="F64">
        <v>3</v>
      </c>
      <c r="G64">
        <v>0</v>
      </c>
      <c r="H64">
        <v>0</v>
      </c>
      <c r="I64">
        <v>0</v>
      </c>
      <c r="J64">
        <v>0</v>
      </c>
      <c r="K64">
        <v>0</v>
      </c>
      <c r="L64">
        <v>516</v>
      </c>
      <c r="M64">
        <v>0</v>
      </c>
      <c r="N64" t="s">
        <v>473</v>
      </c>
      <c r="O64" t="s">
        <v>473</v>
      </c>
    </row>
    <row r="65" spans="1:15" x14ac:dyDescent="0.45">
      <c r="A65">
        <v>0</v>
      </c>
      <c r="B65">
        <v>0</v>
      </c>
      <c r="C65" t="s">
        <v>132</v>
      </c>
      <c r="D65" t="s">
        <v>535</v>
      </c>
      <c r="E65" t="s">
        <v>536</v>
      </c>
      <c r="F65">
        <v>3</v>
      </c>
      <c r="G65">
        <v>0</v>
      </c>
      <c r="H65">
        <v>0</v>
      </c>
      <c r="I65">
        <v>0</v>
      </c>
      <c r="J65">
        <v>0</v>
      </c>
      <c r="K65">
        <v>0</v>
      </c>
      <c r="L65">
        <v>502</v>
      </c>
      <c r="M65">
        <v>0</v>
      </c>
      <c r="N65" t="s">
        <v>473</v>
      </c>
      <c r="O65" t="s">
        <v>473</v>
      </c>
    </row>
    <row r="66" spans="1:15" x14ac:dyDescent="0.45">
      <c r="L66" s="1"/>
      <c r="O66" s="1"/>
    </row>
  </sheetData>
  <conditionalFormatting sqref="A7:B65">
    <cfRule type="colorScale" priority="4">
      <colorScale>
        <cfvo type="min"/>
        <cfvo type="max"/>
        <color rgb="FFFCFCFF"/>
        <color rgb="FF63BE7B"/>
      </colorScale>
    </cfRule>
  </conditionalFormatting>
  <conditionalFormatting sqref="S9:S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F0A50-2D12-497B-B193-EDC251CDF85C}">
  <dimension ref="B5:S52"/>
  <sheetViews>
    <sheetView workbookViewId="0">
      <selection activeCell="R9" sqref="R9:S19"/>
    </sheetView>
  </sheetViews>
  <sheetFormatPr defaultRowHeight="14.25" x14ac:dyDescent="0.45"/>
  <cols>
    <col min="14" max="14" width="9.796875" bestFit="1" customWidth="1"/>
    <col min="19" max="19" width="11" bestFit="1" customWidth="1"/>
  </cols>
  <sheetData>
    <row r="5" spans="2:19" x14ac:dyDescent="0.45">
      <c r="B5">
        <f>SUMPRODUCT(B8:B76,$N$8:$N$76)</f>
        <v>110831</v>
      </c>
      <c r="C5">
        <f>SUMPRODUCT(C8:C76,$N$8:$N$76)</f>
        <v>446952</v>
      </c>
    </row>
    <row r="6" spans="2:19" x14ac:dyDescent="0.45"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151</v>
      </c>
      <c r="N6" t="s">
        <v>151</v>
      </c>
      <c r="O6" t="s">
        <v>151</v>
      </c>
    </row>
    <row r="7" spans="2:19" x14ac:dyDescent="0.45">
      <c r="B7" t="s">
        <v>148</v>
      </c>
      <c r="C7" t="s">
        <v>149</v>
      </c>
      <c r="E7" t="s">
        <v>540</v>
      </c>
      <c r="F7" t="s">
        <v>1</v>
      </c>
      <c r="G7" t="s">
        <v>541</v>
      </c>
      <c r="H7" t="s">
        <v>391</v>
      </c>
      <c r="I7" t="s">
        <v>154</v>
      </c>
      <c r="J7" t="s">
        <v>542</v>
      </c>
      <c r="K7" t="s">
        <v>6</v>
      </c>
      <c r="L7" t="s">
        <v>543</v>
      </c>
      <c r="M7" t="s">
        <v>239</v>
      </c>
      <c r="N7" t="s">
        <v>544</v>
      </c>
      <c r="O7" t="s">
        <v>545</v>
      </c>
    </row>
    <row r="8" spans="2:19" x14ac:dyDescent="0.45">
      <c r="B8">
        <v>0</v>
      </c>
      <c r="C8">
        <v>0</v>
      </c>
      <c r="D8" t="s">
        <v>8</v>
      </c>
      <c r="E8" t="s">
        <v>8</v>
      </c>
      <c r="F8" t="s">
        <v>462</v>
      </c>
      <c r="G8" t="s">
        <v>546</v>
      </c>
      <c r="H8" t="s">
        <v>547</v>
      </c>
      <c r="I8">
        <v>2</v>
      </c>
      <c r="J8">
        <v>8</v>
      </c>
      <c r="K8" t="s">
        <v>548</v>
      </c>
      <c r="L8" t="s">
        <v>549</v>
      </c>
      <c r="M8" t="s">
        <v>550</v>
      </c>
      <c r="N8" s="1">
        <v>10724953</v>
      </c>
      <c r="O8" t="s">
        <v>551</v>
      </c>
    </row>
    <row r="9" spans="2:19" x14ac:dyDescent="0.45">
      <c r="B9">
        <v>0</v>
      </c>
      <c r="C9">
        <v>0</v>
      </c>
      <c r="D9" t="s">
        <v>15</v>
      </c>
      <c r="E9" t="s">
        <v>15</v>
      </c>
      <c r="F9" t="s">
        <v>552</v>
      </c>
      <c r="G9">
        <v>643</v>
      </c>
      <c r="H9">
        <v>166</v>
      </c>
      <c r="I9">
        <v>9</v>
      </c>
      <c r="J9">
        <v>8</v>
      </c>
      <c r="K9">
        <v>1</v>
      </c>
      <c r="L9">
        <v>25.2</v>
      </c>
      <c r="M9">
        <v>31.6</v>
      </c>
      <c r="N9" s="1">
        <v>8357615</v>
      </c>
      <c r="O9">
        <v>1</v>
      </c>
      <c r="R9" t="s">
        <v>148</v>
      </c>
      <c r="S9">
        <f>B5</f>
        <v>110831</v>
      </c>
    </row>
    <row r="10" spans="2:19" x14ac:dyDescent="0.45">
      <c r="B10">
        <v>0</v>
      </c>
      <c r="C10">
        <v>0</v>
      </c>
      <c r="D10" t="s">
        <v>20</v>
      </c>
      <c r="E10" t="s">
        <v>20</v>
      </c>
      <c r="F10" t="s">
        <v>471</v>
      </c>
      <c r="G10">
        <v>639</v>
      </c>
      <c r="H10">
        <v>52</v>
      </c>
      <c r="I10">
        <v>8</v>
      </c>
      <c r="J10">
        <v>2</v>
      </c>
      <c r="K10">
        <v>6</v>
      </c>
      <c r="L10">
        <v>7.9</v>
      </c>
      <c r="M10">
        <v>18.3</v>
      </c>
      <c r="N10" s="1">
        <v>4814321</v>
      </c>
      <c r="O10">
        <v>1.5</v>
      </c>
      <c r="R10" t="s">
        <v>238</v>
      </c>
      <c r="S10" s="6">
        <f>SUMIF($D$8:$D$52,R10,$N$8:$N$52)</f>
        <v>390563</v>
      </c>
    </row>
    <row r="11" spans="2:19" x14ac:dyDescent="0.45">
      <c r="B11">
        <v>0</v>
      </c>
      <c r="C11">
        <v>0</v>
      </c>
      <c r="D11" t="s">
        <v>142</v>
      </c>
      <c r="E11" t="s">
        <v>142</v>
      </c>
      <c r="F11" t="s">
        <v>27</v>
      </c>
      <c r="G11">
        <v>72</v>
      </c>
      <c r="H11">
        <v>5</v>
      </c>
      <c r="I11">
        <v>0</v>
      </c>
      <c r="J11">
        <v>1</v>
      </c>
      <c r="K11" t="s">
        <v>258</v>
      </c>
      <c r="L11">
        <v>0.8</v>
      </c>
      <c r="M11">
        <v>1.8</v>
      </c>
      <c r="N11" s="1">
        <v>464314</v>
      </c>
      <c r="O11" t="s">
        <v>174</v>
      </c>
      <c r="R11" t="s">
        <v>15</v>
      </c>
      <c r="S11" s="6">
        <f t="shared" ref="S11:S15" si="0">SUMIF($D$8:$D$52,R11,$N$8:$N$52)</f>
        <v>8357615</v>
      </c>
    </row>
    <row r="12" spans="2:19" x14ac:dyDescent="0.45">
      <c r="B12">
        <v>0</v>
      </c>
      <c r="C12">
        <v>0</v>
      </c>
      <c r="D12" t="s">
        <v>238</v>
      </c>
      <c r="E12" t="s">
        <v>182</v>
      </c>
      <c r="F12" t="s">
        <v>553</v>
      </c>
      <c r="G12">
        <v>428</v>
      </c>
      <c r="H12">
        <v>0</v>
      </c>
      <c r="I12">
        <v>0</v>
      </c>
      <c r="J12">
        <v>0</v>
      </c>
      <c r="K12">
        <v>0</v>
      </c>
      <c r="L12">
        <v>0</v>
      </c>
      <c r="M12">
        <v>1.5</v>
      </c>
      <c r="N12" s="1">
        <v>390563</v>
      </c>
      <c r="O12">
        <v>1.2</v>
      </c>
      <c r="R12" t="s">
        <v>20</v>
      </c>
      <c r="S12" s="6">
        <f t="shared" si="0"/>
        <v>4814321</v>
      </c>
    </row>
    <row r="13" spans="2:19" x14ac:dyDescent="0.45">
      <c r="B13">
        <v>0</v>
      </c>
      <c r="C13">
        <v>0</v>
      </c>
      <c r="D13" t="s">
        <v>147</v>
      </c>
      <c r="E13" t="s">
        <v>177</v>
      </c>
      <c r="F13" t="s">
        <v>479</v>
      </c>
      <c r="G13">
        <v>17</v>
      </c>
      <c r="H13">
        <v>6</v>
      </c>
      <c r="I13">
        <v>1</v>
      </c>
      <c r="J13">
        <v>5</v>
      </c>
      <c r="K13" t="s">
        <v>554</v>
      </c>
      <c r="L13">
        <v>0.9</v>
      </c>
      <c r="M13">
        <v>0.8</v>
      </c>
      <c r="N13" s="1">
        <v>216839</v>
      </c>
      <c r="O13">
        <v>0</v>
      </c>
      <c r="R13" t="s">
        <v>8</v>
      </c>
      <c r="S13" s="6">
        <f t="shared" si="0"/>
        <v>10741006</v>
      </c>
    </row>
    <row r="14" spans="2:19" x14ac:dyDescent="0.45">
      <c r="B14">
        <v>0</v>
      </c>
      <c r="C14">
        <v>1</v>
      </c>
      <c r="D14" t="s">
        <v>132</v>
      </c>
      <c r="E14" t="s">
        <v>37</v>
      </c>
      <c r="F14" t="s">
        <v>409</v>
      </c>
      <c r="G14">
        <v>40</v>
      </c>
      <c r="H14">
        <v>4</v>
      </c>
      <c r="I14">
        <v>1</v>
      </c>
      <c r="J14">
        <v>1</v>
      </c>
      <c r="K14">
        <v>0</v>
      </c>
      <c r="L14">
        <v>0.6</v>
      </c>
      <c r="M14">
        <v>0.7</v>
      </c>
      <c r="N14" s="1">
        <v>195893</v>
      </c>
      <c r="O14">
        <v>0.2</v>
      </c>
      <c r="R14" t="s">
        <v>406</v>
      </c>
      <c r="S14" s="6">
        <f t="shared" si="0"/>
        <v>166477</v>
      </c>
    </row>
    <row r="15" spans="2:19" x14ac:dyDescent="0.45">
      <c r="B15">
        <v>0</v>
      </c>
      <c r="C15">
        <v>0</v>
      </c>
      <c r="D15" t="s">
        <v>147</v>
      </c>
      <c r="E15" t="s">
        <v>171</v>
      </c>
      <c r="F15" t="s">
        <v>476</v>
      </c>
      <c r="G15">
        <v>14</v>
      </c>
      <c r="H15">
        <v>5</v>
      </c>
      <c r="I15">
        <v>3</v>
      </c>
      <c r="J15">
        <v>0</v>
      </c>
      <c r="K15">
        <v>3</v>
      </c>
      <c r="L15">
        <v>0.8</v>
      </c>
      <c r="M15">
        <v>0.7</v>
      </c>
      <c r="N15" s="1">
        <v>181999</v>
      </c>
      <c r="O15">
        <v>0.4</v>
      </c>
      <c r="R15" t="s">
        <v>142</v>
      </c>
      <c r="S15" s="6">
        <f t="shared" si="0"/>
        <v>464314</v>
      </c>
    </row>
    <row r="16" spans="2:19" x14ac:dyDescent="0.45">
      <c r="B16">
        <v>0</v>
      </c>
      <c r="C16">
        <v>0</v>
      </c>
      <c r="D16" t="s">
        <v>147</v>
      </c>
      <c r="E16" t="s">
        <v>32</v>
      </c>
      <c r="F16" t="s">
        <v>262</v>
      </c>
      <c r="G16">
        <v>18</v>
      </c>
      <c r="H16">
        <v>4</v>
      </c>
      <c r="I16">
        <v>2</v>
      </c>
      <c r="J16">
        <v>0</v>
      </c>
      <c r="K16">
        <v>2</v>
      </c>
      <c r="L16">
        <v>0.6</v>
      </c>
      <c r="M16">
        <v>0.7</v>
      </c>
      <c r="N16" s="1">
        <v>175933</v>
      </c>
      <c r="O16">
        <v>0.3</v>
      </c>
      <c r="R16" t="s">
        <v>149</v>
      </c>
      <c r="S16" s="6">
        <f>C5</f>
        <v>446952</v>
      </c>
    </row>
    <row r="17" spans="2:19" x14ac:dyDescent="0.45">
      <c r="B17">
        <v>0</v>
      </c>
      <c r="C17">
        <v>0</v>
      </c>
      <c r="D17" t="s">
        <v>147</v>
      </c>
      <c r="E17" t="s">
        <v>176</v>
      </c>
      <c r="F17" t="s">
        <v>555</v>
      </c>
      <c r="G17">
        <v>18</v>
      </c>
      <c r="H17">
        <v>3</v>
      </c>
      <c r="I17">
        <v>0</v>
      </c>
      <c r="J17">
        <v>0</v>
      </c>
      <c r="K17">
        <v>0</v>
      </c>
      <c r="L17">
        <v>0.5</v>
      </c>
      <c r="M17">
        <v>0.6</v>
      </c>
      <c r="N17" s="1">
        <v>169865</v>
      </c>
      <c r="O17">
        <v>0</v>
      </c>
    </row>
    <row r="18" spans="2:19" x14ac:dyDescent="0.45">
      <c r="B18">
        <v>0</v>
      </c>
      <c r="C18">
        <v>0</v>
      </c>
      <c r="D18" t="s">
        <v>406</v>
      </c>
      <c r="E18" t="s">
        <v>406</v>
      </c>
      <c r="F18" t="s">
        <v>556</v>
      </c>
      <c r="G18">
        <v>145</v>
      </c>
      <c r="H18">
        <v>0</v>
      </c>
      <c r="I18">
        <v>0</v>
      </c>
      <c r="J18">
        <v>0</v>
      </c>
      <c r="K18">
        <v>0</v>
      </c>
      <c r="L18">
        <v>0</v>
      </c>
      <c r="M18">
        <v>0.6</v>
      </c>
      <c r="N18" s="1">
        <v>166477</v>
      </c>
      <c r="O18">
        <v>0.3</v>
      </c>
      <c r="R18" t="s">
        <v>147</v>
      </c>
      <c r="S18" s="6">
        <f t="shared" ref="S18" si="1">SUMIF($D$8:$D$52,R18,$N$8:$N$52)</f>
        <v>773635</v>
      </c>
    </row>
    <row r="19" spans="2:19" x14ac:dyDescent="0.45">
      <c r="B19">
        <v>0.5</v>
      </c>
      <c r="C19">
        <v>0.5</v>
      </c>
      <c r="D19" t="s">
        <v>132</v>
      </c>
      <c r="E19" t="s">
        <v>264</v>
      </c>
      <c r="F19" t="s">
        <v>473</v>
      </c>
      <c r="G19">
        <v>137</v>
      </c>
      <c r="H19">
        <v>0</v>
      </c>
      <c r="I19">
        <v>0</v>
      </c>
      <c r="J19">
        <v>1</v>
      </c>
      <c r="K19" t="s">
        <v>258</v>
      </c>
      <c r="L19">
        <v>0</v>
      </c>
      <c r="M19">
        <v>0.4</v>
      </c>
      <c r="N19" s="1">
        <v>98917</v>
      </c>
      <c r="O19">
        <v>0.3</v>
      </c>
      <c r="S19" s="9">
        <f>SUM(N8:N69)-S18</f>
        <v>25586919</v>
      </c>
    </row>
    <row r="20" spans="2:19" x14ac:dyDescent="0.45">
      <c r="B20">
        <v>0</v>
      </c>
      <c r="C20">
        <v>1</v>
      </c>
      <c r="D20" t="s">
        <v>132</v>
      </c>
      <c r="E20" t="s">
        <v>357</v>
      </c>
      <c r="F20" t="s">
        <v>557</v>
      </c>
      <c r="G20">
        <v>72</v>
      </c>
      <c r="H20">
        <v>0</v>
      </c>
      <c r="I20">
        <v>0</v>
      </c>
      <c r="J20">
        <v>0</v>
      </c>
      <c r="K20">
        <v>0</v>
      </c>
      <c r="L20">
        <v>0</v>
      </c>
      <c r="M20">
        <v>0.3</v>
      </c>
      <c r="N20" s="1">
        <v>72516</v>
      </c>
      <c r="O20" t="s">
        <v>473</v>
      </c>
    </row>
    <row r="21" spans="2:19" x14ac:dyDescent="0.45">
      <c r="B21">
        <v>0</v>
      </c>
      <c r="C21">
        <v>1</v>
      </c>
      <c r="D21" t="s">
        <v>132</v>
      </c>
      <c r="E21" t="s">
        <v>558</v>
      </c>
      <c r="F21" t="s">
        <v>473</v>
      </c>
      <c r="G21">
        <v>98</v>
      </c>
      <c r="H21">
        <v>0</v>
      </c>
      <c r="I21">
        <v>0</v>
      </c>
      <c r="J21">
        <v>0</v>
      </c>
      <c r="K21">
        <v>0</v>
      </c>
      <c r="L21">
        <v>0</v>
      </c>
      <c r="M21">
        <v>0.2</v>
      </c>
      <c r="N21" s="1">
        <v>57553</v>
      </c>
      <c r="O21" t="s">
        <v>473</v>
      </c>
    </row>
    <row r="22" spans="2:19" x14ac:dyDescent="0.45">
      <c r="B22">
        <v>0</v>
      </c>
      <c r="C22">
        <v>1</v>
      </c>
      <c r="D22" t="s">
        <v>132</v>
      </c>
      <c r="E22" t="s">
        <v>284</v>
      </c>
      <c r="F22" t="s">
        <v>285</v>
      </c>
      <c r="G22">
        <v>114</v>
      </c>
      <c r="H22">
        <v>0</v>
      </c>
      <c r="I22">
        <v>0</v>
      </c>
      <c r="J22">
        <v>0</v>
      </c>
      <c r="K22">
        <v>0</v>
      </c>
      <c r="L22">
        <v>0</v>
      </c>
      <c r="M22">
        <v>0.2</v>
      </c>
      <c r="N22" s="1">
        <v>57288</v>
      </c>
      <c r="O22">
        <v>0</v>
      </c>
    </row>
    <row r="23" spans="2:19" x14ac:dyDescent="0.45">
      <c r="B23">
        <v>1</v>
      </c>
      <c r="C23">
        <v>0</v>
      </c>
      <c r="D23" t="s">
        <v>132</v>
      </c>
      <c r="E23" t="s">
        <v>234</v>
      </c>
      <c r="F23" t="s">
        <v>405</v>
      </c>
      <c r="G23">
        <v>33</v>
      </c>
      <c r="H23">
        <v>0</v>
      </c>
      <c r="I23">
        <v>0</v>
      </c>
      <c r="J23">
        <v>0</v>
      </c>
      <c r="K23">
        <v>0</v>
      </c>
      <c r="L23">
        <v>0</v>
      </c>
      <c r="M23">
        <v>0.2</v>
      </c>
      <c r="N23" s="1">
        <v>47129</v>
      </c>
      <c r="O23">
        <v>0.1</v>
      </c>
    </row>
    <row r="24" spans="2:19" x14ac:dyDescent="0.45">
      <c r="B24">
        <v>0</v>
      </c>
      <c r="C24">
        <v>0</v>
      </c>
      <c r="D24" t="s">
        <v>147</v>
      </c>
      <c r="E24" t="s">
        <v>42</v>
      </c>
      <c r="F24" t="s">
        <v>559</v>
      </c>
      <c r="G24">
        <v>10</v>
      </c>
      <c r="H24">
        <v>0</v>
      </c>
      <c r="I24">
        <v>0</v>
      </c>
      <c r="J24">
        <v>0</v>
      </c>
      <c r="K24">
        <v>0</v>
      </c>
      <c r="L24">
        <v>0</v>
      </c>
      <c r="M24">
        <v>0.1</v>
      </c>
      <c r="N24" s="1">
        <v>28999</v>
      </c>
      <c r="O24" t="s">
        <v>173</v>
      </c>
    </row>
    <row r="25" spans="2:19" x14ac:dyDescent="0.45">
      <c r="B25">
        <v>0.5</v>
      </c>
      <c r="C25">
        <v>0.5</v>
      </c>
      <c r="D25" t="s">
        <v>132</v>
      </c>
      <c r="E25" t="s">
        <v>418</v>
      </c>
      <c r="F25" t="s">
        <v>419</v>
      </c>
      <c r="G25">
        <v>1</v>
      </c>
      <c r="H25">
        <v>1</v>
      </c>
      <c r="I25">
        <v>1</v>
      </c>
      <c r="J25">
        <v>0</v>
      </c>
      <c r="K25">
        <v>1</v>
      </c>
      <c r="L25">
        <v>0.2</v>
      </c>
      <c r="M25">
        <v>0.1</v>
      </c>
      <c r="N25" s="1">
        <v>28487</v>
      </c>
      <c r="O25" t="s">
        <v>473</v>
      </c>
    </row>
    <row r="26" spans="2:19" x14ac:dyDescent="0.45">
      <c r="B26">
        <v>0</v>
      </c>
      <c r="C26">
        <v>0</v>
      </c>
      <c r="D26" t="s">
        <v>8</v>
      </c>
      <c r="E26" t="s">
        <v>181</v>
      </c>
      <c r="F26" t="s">
        <v>473</v>
      </c>
      <c r="G26">
        <v>1</v>
      </c>
      <c r="H26">
        <v>1</v>
      </c>
      <c r="I26">
        <v>1</v>
      </c>
      <c r="J26">
        <v>0</v>
      </c>
      <c r="K26">
        <v>1</v>
      </c>
      <c r="L26">
        <v>0.2</v>
      </c>
      <c r="M26">
        <v>0.1</v>
      </c>
      <c r="N26" s="1">
        <v>16053</v>
      </c>
      <c r="O26" t="s">
        <v>473</v>
      </c>
    </row>
    <row r="27" spans="2:19" x14ac:dyDescent="0.45">
      <c r="B27">
        <v>0</v>
      </c>
      <c r="C27">
        <v>0</v>
      </c>
      <c r="D27" t="s">
        <v>132</v>
      </c>
      <c r="E27" t="s">
        <v>186</v>
      </c>
      <c r="F27" t="s">
        <v>488</v>
      </c>
      <c r="G27">
        <v>13</v>
      </c>
      <c r="H27">
        <v>0</v>
      </c>
      <c r="I27">
        <v>0</v>
      </c>
      <c r="J27">
        <v>0</v>
      </c>
      <c r="K27">
        <v>0</v>
      </c>
      <c r="L27">
        <v>0</v>
      </c>
      <c r="M27">
        <v>0.1</v>
      </c>
      <c r="N27" s="1">
        <v>13685</v>
      </c>
      <c r="O27">
        <v>0</v>
      </c>
    </row>
    <row r="28" spans="2:19" x14ac:dyDescent="0.45">
      <c r="B28">
        <v>0</v>
      </c>
      <c r="C28">
        <v>0</v>
      </c>
      <c r="D28" t="s">
        <v>132</v>
      </c>
      <c r="E28" t="s">
        <v>560</v>
      </c>
      <c r="F28" t="s">
        <v>561</v>
      </c>
      <c r="G28">
        <v>1</v>
      </c>
      <c r="H28">
        <v>0</v>
      </c>
      <c r="I28">
        <v>0</v>
      </c>
      <c r="J28">
        <v>1</v>
      </c>
      <c r="K28" t="s">
        <v>258</v>
      </c>
      <c r="L28">
        <v>0</v>
      </c>
      <c r="M28">
        <v>0.1</v>
      </c>
      <c r="N28" s="1">
        <v>13509</v>
      </c>
      <c r="O28">
        <v>0.1</v>
      </c>
    </row>
    <row r="29" spans="2:19" x14ac:dyDescent="0.45">
      <c r="B29">
        <v>0</v>
      </c>
      <c r="C29">
        <v>0</v>
      </c>
      <c r="D29" t="s">
        <v>132</v>
      </c>
      <c r="E29" t="s">
        <v>562</v>
      </c>
      <c r="F29" t="s">
        <v>563</v>
      </c>
      <c r="G29">
        <v>37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">
        <v>9453</v>
      </c>
      <c r="O29" t="s">
        <v>173</v>
      </c>
    </row>
    <row r="30" spans="2:19" x14ac:dyDescent="0.45">
      <c r="B30">
        <v>0</v>
      </c>
      <c r="C30">
        <v>0</v>
      </c>
      <c r="D30" t="s">
        <v>132</v>
      </c>
      <c r="E30" t="s">
        <v>490</v>
      </c>
      <c r="F30" t="s">
        <v>491</v>
      </c>
      <c r="G30">
        <v>13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s="1">
        <v>8677</v>
      </c>
      <c r="O30" t="s">
        <v>473</v>
      </c>
    </row>
    <row r="31" spans="2:19" x14ac:dyDescent="0.45">
      <c r="B31">
        <v>0</v>
      </c>
      <c r="C31">
        <v>0</v>
      </c>
      <c r="D31" t="s">
        <v>132</v>
      </c>
      <c r="E31" t="s">
        <v>564</v>
      </c>
      <c r="F31" t="s">
        <v>565</v>
      </c>
      <c r="G31">
        <v>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s="1">
        <v>7443</v>
      </c>
      <c r="O31" t="s">
        <v>473</v>
      </c>
    </row>
    <row r="32" spans="2:19" x14ac:dyDescent="0.45">
      <c r="B32">
        <v>0</v>
      </c>
      <c r="C32">
        <v>0</v>
      </c>
      <c r="D32" t="s">
        <v>132</v>
      </c>
      <c r="E32" t="s">
        <v>84</v>
      </c>
      <c r="F32" t="s">
        <v>566</v>
      </c>
      <c r="G32">
        <v>15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s="1">
        <v>6655</v>
      </c>
      <c r="O32">
        <v>0</v>
      </c>
    </row>
    <row r="33" spans="2:15" x14ac:dyDescent="0.45">
      <c r="B33">
        <v>0</v>
      </c>
      <c r="C33">
        <v>0</v>
      </c>
      <c r="D33" t="s">
        <v>132</v>
      </c>
      <c r="E33" t="s">
        <v>567</v>
      </c>
      <c r="F33" t="s">
        <v>568</v>
      </c>
      <c r="G33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s="1">
        <v>4781</v>
      </c>
      <c r="O33">
        <v>0</v>
      </c>
    </row>
    <row r="34" spans="2:15" x14ac:dyDescent="0.45">
      <c r="B34">
        <v>0</v>
      </c>
      <c r="C34">
        <v>0</v>
      </c>
      <c r="D34" t="s">
        <v>132</v>
      </c>
      <c r="E34" t="s">
        <v>205</v>
      </c>
      <c r="F34" t="s">
        <v>206</v>
      </c>
      <c r="G34">
        <v>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s="1">
        <v>3199</v>
      </c>
      <c r="O34">
        <v>0</v>
      </c>
    </row>
    <row r="35" spans="2:15" x14ac:dyDescent="0.45">
      <c r="B35">
        <v>0</v>
      </c>
      <c r="C35">
        <v>0</v>
      </c>
      <c r="D35" t="s">
        <v>132</v>
      </c>
      <c r="E35" t="s">
        <v>569</v>
      </c>
      <c r="F35" t="s">
        <v>570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s="1">
        <v>2968</v>
      </c>
      <c r="O35">
        <v>0</v>
      </c>
    </row>
    <row r="36" spans="2:15" x14ac:dyDescent="0.45">
      <c r="B36">
        <v>0</v>
      </c>
      <c r="C36">
        <v>0</v>
      </c>
      <c r="D36" t="s">
        <v>132</v>
      </c>
      <c r="E36" t="s">
        <v>507</v>
      </c>
      <c r="F36" t="s">
        <v>571</v>
      </c>
      <c r="G36">
        <v>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s="1">
        <v>2728</v>
      </c>
      <c r="O36" t="s">
        <v>473</v>
      </c>
    </row>
    <row r="37" spans="2:15" x14ac:dyDescent="0.45">
      <c r="B37">
        <v>0</v>
      </c>
      <c r="C37">
        <v>0</v>
      </c>
      <c r="D37" t="s">
        <v>132</v>
      </c>
      <c r="E37" t="s">
        <v>572</v>
      </c>
      <c r="F37" t="s">
        <v>573</v>
      </c>
      <c r="G37">
        <v>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s="1">
        <v>2634</v>
      </c>
      <c r="O37" t="s">
        <v>473</v>
      </c>
    </row>
    <row r="38" spans="2:15" x14ac:dyDescent="0.45">
      <c r="B38">
        <v>0</v>
      </c>
      <c r="C38">
        <v>0</v>
      </c>
      <c r="D38" t="s">
        <v>132</v>
      </c>
      <c r="E38" t="s">
        <v>344</v>
      </c>
      <c r="F38" t="s">
        <v>489</v>
      </c>
      <c r="G38">
        <v>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">
        <v>2484</v>
      </c>
      <c r="O38">
        <v>0</v>
      </c>
    </row>
    <row r="39" spans="2:15" x14ac:dyDescent="0.45">
      <c r="B39">
        <v>0</v>
      </c>
      <c r="C39">
        <v>0</v>
      </c>
      <c r="D39" t="s">
        <v>132</v>
      </c>
      <c r="E39" t="s">
        <v>288</v>
      </c>
      <c r="F39" t="s">
        <v>504</v>
      </c>
      <c r="G39">
        <v>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s="1">
        <v>2352</v>
      </c>
      <c r="O39">
        <v>0</v>
      </c>
    </row>
    <row r="40" spans="2:15" x14ac:dyDescent="0.45">
      <c r="B40">
        <v>0</v>
      </c>
      <c r="C40">
        <v>0</v>
      </c>
      <c r="D40" t="s">
        <v>132</v>
      </c>
      <c r="E40" t="s">
        <v>574</v>
      </c>
      <c r="F40" t="s">
        <v>575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s="1">
        <v>1960</v>
      </c>
      <c r="O40" t="s">
        <v>473</v>
      </c>
    </row>
    <row r="41" spans="2:15" x14ac:dyDescent="0.45">
      <c r="B41">
        <v>0</v>
      </c>
      <c r="C41">
        <v>0</v>
      </c>
      <c r="D41" t="s">
        <v>132</v>
      </c>
      <c r="E41" t="s">
        <v>576</v>
      </c>
      <c r="F41" t="s">
        <v>577</v>
      </c>
      <c r="G41">
        <v>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s="1">
        <v>1794</v>
      </c>
      <c r="O41" t="s">
        <v>473</v>
      </c>
    </row>
    <row r="42" spans="2:15" x14ac:dyDescent="0.45">
      <c r="B42">
        <v>0</v>
      </c>
      <c r="C42">
        <v>0</v>
      </c>
      <c r="D42" t="s">
        <v>132</v>
      </c>
      <c r="E42" t="s">
        <v>430</v>
      </c>
      <c r="F42" t="s">
        <v>431</v>
      </c>
      <c r="G42">
        <v>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s="1">
        <v>1454</v>
      </c>
      <c r="O42">
        <v>0</v>
      </c>
    </row>
    <row r="43" spans="2:15" x14ac:dyDescent="0.45">
      <c r="B43">
        <v>0</v>
      </c>
      <c r="C43">
        <v>0</v>
      </c>
      <c r="D43" t="s">
        <v>132</v>
      </c>
      <c r="E43" t="s">
        <v>578</v>
      </c>
      <c r="F43" t="s">
        <v>579</v>
      </c>
      <c r="G43">
        <v>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s="1">
        <v>1418</v>
      </c>
      <c r="O43" t="s">
        <v>473</v>
      </c>
    </row>
    <row r="44" spans="2:15" x14ac:dyDescent="0.45">
      <c r="B44">
        <v>0</v>
      </c>
      <c r="C44">
        <v>0</v>
      </c>
      <c r="D44" t="s">
        <v>132</v>
      </c>
      <c r="E44" t="s">
        <v>580</v>
      </c>
      <c r="F44" t="s">
        <v>581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s="1">
        <v>1164</v>
      </c>
      <c r="O44" t="s">
        <v>473</v>
      </c>
    </row>
    <row r="45" spans="2:15" x14ac:dyDescent="0.45">
      <c r="B45">
        <v>0</v>
      </c>
      <c r="C45">
        <v>0</v>
      </c>
      <c r="D45" t="s">
        <v>132</v>
      </c>
      <c r="E45" t="s">
        <v>582</v>
      </c>
      <c r="G45">
        <v>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s="1">
        <v>1150</v>
      </c>
      <c r="O45" t="s">
        <v>473</v>
      </c>
    </row>
    <row r="46" spans="2:15" x14ac:dyDescent="0.45">
      <c r="B46">
        <v>0</v>
      </c>
      <c r="C46">
        <v>0</v>
      </c>
      <c r="D46" t="s">
        <v>132</v>
      </c>
      <c r="E46" t="s">
        <v>444</v>
      </c>
      <c r="F46" t="s">
        <v>106</v>
      </c>
      <c r="G46">
        <v>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s="1">
        <v>1003</v>
      </c>
      <c r="O46">
        <v>0</v>
      </c>
    </row>
    <row r="47" spans="2:15" x14ac:dyDescent="0.45">
      <c r="B47">
        <v>0</v>
      </c>
      <c r="C47">
        <v>0</v>
      </c>
      <c r="D47" t="s">
        <v>132</v>
      </c>
      <c r="E47" t="s">
        <v>583</v>
      </c>
      <c r="F47" t="s">
        <v>584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888</v>
      </c>
      <c r="O47">
        <v>0</v>
      </c>
    </row>
    <row r="48" spans="2:15" x14ac:dyDescent="0.45">
      <c r="B48">
        <v>0</v>
      </c>
      <c r="C48">
        <v>0</v>
      </c>
      <c r="D48" t="s">
        <v>132</v>
      </c>
      <c r="E48" t="s">
        <v>585</v>
      </c>
      <c r="F48" t="s">
        <v>586</v>
      </c>
      <c r="G48">
        <v>3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832</v>
      </c>
      <c r="O48" t="s">
        <v>473</v>
      </c>
    </row>
    <row r="49" spans="2:15" x14ac:dyDescent="0.45">
      <c r="B49">
        <v>0</v>
      </c>
      <c r="C49">
        <v>0</v>
      </c>
      <c r="D49" t="s">
        <v>132</v>
      </c>
      <c r="E49" t="s">
        <v>587</v>
      </c>
      <c r="F49" t="s">
        <v>360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770</v>
      </c>
      <c r="O49" t="s">
        <v>473</v>
      </c>
    </row>
    <row r="50" spans="2:15" x14ac:dyDescent="0.45">
      <c r="B50">
        <v>0</v>
      </c>
      <c r="C50">
        <v>0</v>
      </c>
      <c r="D50" t="s">
        <v>132</v>
      </c>
      <c r="E50" t="s">
        <v>452</v>
      </c>
      <c r="F50" t="s">
        <v>453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727</v>
      </c>
      <c r="O50" t="s">
        <v>473</v>
      </c>
    </row>
    <row r="51" spans="2:15" x14ac:dyDescent="0.45">
      <c r="B51">
        <v>0</v>
      </c>
      <c r="C51">
        <v>0</v>
      </c>
      <c r="D51" t="s">
        <v>132</v>
      </c>
      <c r="E51" t="s">
        <v>232</v>
      </c>
      <c r="F51" t="s">
        <v>287</v>
      </c>
      <c r="G51">
        <v>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607</v>
      </c>
      <c r="O51">
        <v>0</v>
      </c>
    </row>
    <row r="52" spans="2:15" x14ac:dyDescent="0.45">
      <c r="B52">
        <v>0</v>
      </c>
      <c r="C52">
        <v>0</v>
      </c>
      <c r="D52" t="s">
        <v>132</v>
      </c>
      <c r="E52" t="s">
        <v>588</v>
      </c>
      <c r="F52" t="s">
        <v>589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505</v>
      </c>
      <c r="O52" t="s">
        <v>473</v>
      </c>
    </row>
  </sheetData>
  <conditionalFormatting sqref="B8:C52">
    <cfRule type="colorScale" priority="4">
      <colorScale>
        <cfvo type="min"/>
        <cfvo type="max"/>
        <color rgb="FFFCFCFF"/>
        <color rgb="FF63BE7B"/>
      </colorScale>
    </cfRule>
  </conditionalFormatting>
  <conditionalFormatting sqref="S10:S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49A41-E746-4CD4-84A0-9C043CCC2553}">
  <dimension ref="B4:R55"/>
  <sheetViews>
    <sheetView workbookViewId="0">
      <selection activeCell="Q7" sqref="Q7:R17"/>
    </sheetView>
  </sheetViews>
  <sheetFormatPr defaultRowHeight="14.25" x14ac:dyDescent="0.45"/>
  <cols>
    <col min="14" max="14" width="9.796875" bestFit="1" customWidth="1"/>
    <col min="18" max="18" width="11" bestFit="1" customWidth="1"/>
  </cols>
  <sheetData>
    <row r="4" spans="2:18" x14ac:dyDescent="0.45">
      <c r="B4">
        <f>SUMPRODUCT(B7:B75,$N$8:$N$76)</f>
        <v>74907</v>
      </c>
      <c r="C4">
        <f>SUMPRODUCT(C7:C75,$N$8:$N$76)</f>
        <v>263374</v>
      </c>
    </row>
    <row r="5" spans="2:18" x14ac:dyDescent="0.45"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151</v>
      </c>
      <c r="N5" t="s">
        <v>151</v>
      </c>
      <c r="O5" t="s">
        <v>151</v>
      </c>
    </row>
    <row r="6" spans="2:18" x14ac:dyDescent="0.45">
      <c r="B6" t="s">
        <v>148</v>
      </c>
      <c r="C6" t="s">
        <v>149</v>
      </c>
      <c r="E6" t="s">
        <v>540</v>
      </c>
      <c r="F6" t="s">
        <v>1</v>
      </c>
      <c r="G6" t="s">
        <v>541</v>
      </c>
      <c r="H6" t="s">
        <v>391</v>
      </c>
      <c r="I6" t="s">
        <v>154</v>
      </c>
      <c r="J6" t="s">
        <v>542</v>
      </c>
      <c r="K6" t="s">
        <v>6</v>
      </c>
      <c r="L6" t="s">
        <v>543</v>
      </c>
      <c r="M6" t="s">
        <v>239</v>
      </c>
      <c r="N6" t="s">
        <v>544</v>
      </c>
      <c r="O6" t="s">
        <v>545</v>
      </c>
    </row>
    <row r="7" spans="2:18" x14ac:dyDescent="0.45">
      <c r="B7">
        <v>0</v>
      </c>
      <c r="C7">
        <v>0</v>
      </c>
      <c r="D7" t="s">
        <v>8</v>
      </c>
      <c r="E7" t="s">
        <v>8</v>
      </c>
      <c r="F7" t="s">
        <v>462</v>
      </c>
      <c r="G7" t="s">
        <v>590</v>
      </c>
      <c r="H7" t="s">
        <v>591</v>
      </c>
      <c r="I7">
        <v>146</v>
      </c>
      <c r="J7">
        <v>1</v>
      </c>
      <c r="K7" t="s">
        <v>592</v>
      </c>
      <c r="L7" t="s">
        <v>593</v>
      </c>
      <c r="M7" t="s">
        <v>594</v>
      </c>
      <c r="N7" s="1">
        <v>13518167</v>
      </c>
      <c r="O7" t="s">
        <v>595</v>
      </c>
      <c r="Q7" t="s">
        <v>148</v>
      </c>
      <c r="R7">
        <f>B4</f>
        <v>74907</v>
      </c>
    </row>
    <row r="8" spans="2:18" x14ac:dyDescent="0.45">
      <c r="B8">
        <v>0</v>
      </c>
      <c r="C8">
        <v>0</v>
      </c>
      <c r="D8" t="s">
        <v>15</v>
      </c>
      <c r="E8" t="s">
        <v>15</v>
      </c>
      <c r="F8" t="s">
        <v>596</v>
      </c>
      <c r="G8">
        <v>648</v>
      </c>
      <c r="H8">
        <v>165</v>
      </c>
      <c r="I8">
        <v>0</v>
      </c>
      <c r="J8">
        <v>178</v>
      </c>
      <c r="K8" t="s">
        <v>597</v>
      </c>
      <c r="L8">
        <v>25</v>
      </c>
      <c r="M8">
        <v>30.7</v>
      </c>
      <c r="N8" s="1">
        <v>9591085</v>
      </c>
      <c r="O8" t="s">
        <v>598</v>
      </c>
      <c r="Q8" t="s">
        <v>238</v>
      </c>
      <c r="R8" s="6">
        <f>SUMIF($D$7:$D$51,Q8,$N$7:$N$51)</f>
        <v>811849</v>
      </c>
    </row>
    <row r="9" spans="2:18" x14ac:dyDescent="0.45">
      <c r="B9">
        <v>0</v>
      </c>
      <c r="C9">
        <v>0</v>
      </c>
      <c r="D9" t="s">
        <v>20</v>
      </c>
      <c r="E9" t="s">
        <v>20</v>
      </c>
      <c r="F9" t="s">
        <v>599</v>
      </c>
      <c r="G9">
        <v>639</v>
      </c>
      <c r="H9">
        <v>46</v>
      </c>
      <c r="I9">
        <v>30</v>
      </c>
      <c r="J9">
        <v>2</v>
      </c>
      <c r="K9">
        <v>28</v>
      </c>
      <c r="L9">
        <v>7</v>
      </c>
      <c r="M9">
        <v>16.8</v>
      </c>
      <c r="N9" s="1">
        <v>5242947</v>
      </c>
      <c r="O9" t="s">
        <v>600</v>
      </c>
      <c r="Q9" t="s">
        <v>15</v>
      </c>
      <c r="R9" s="6">
        <f t="shared" ref="R9:R13" si="0">SUMIF($D$7:$D$51,Q9,$N$7:$N$51)</f>
        <v>9591085</v>
      </c>
    </row>
    <row r="10" spans="2:18" x14ac:dyDescent="0.45">
      <c r="B10">
        <v>0</v>
      </c>
      <c r="C10">
        <v>0</v>
      </c>
      <c r="D10" t="s">
        <v>238</v>
      </c>
      <c r="E10" t="s">
        <v>601</v>
      </c>
      <c r="F10" t="s">
        <v>602</v>
      </c>
      <c r="G10">
        <v>547</v>
      </c>
      <c r="H10">
        <v>0</v>
      </c>
      <c r="I10">
        <v>0</v>
      </c>
      <c r="J10">
        <v>0</v>
      </c>
      <c r="K10">
        <v>0</v>
      </c>
      <c r="M10">
        <v>2.6</v>
      </c>
      <c r="N10" s="1">
        <v>811849</v>
      </c>
      <c r="O10" t="s">
        <v>473</v>
      </c>
      <c r="Q10" t="s">
        <v>20</v>
      </c>
      <c r="R10" s="6">
        <f t="shared" si="0"/>
        <v>5242947</v>
      </c>
    </row>
    <row r="11" spans="2:18" x14ac:dyDescent="0.45">
      <c r="B11">
        <v>0</v>
      </c>
      <c r="C11">
        <v>0</v>
      </c>
      <c r="D11" t="s">
        <v>142</v>
      </c>
      <c r="E11" t="s">
        <v>142</v>
      </c>
      <c r="F11" t="s">
        <v>65</v>
      </c>
      <c r="G11">
        <v>72</v>
      </c>
      <c r="H11">
        <v>6</v>
      </c>
      <c r="I11">
        <v>3</v>
      </c>
      <c r="J11">
        <v>0</v>
      </c>
      <c r="K11">
        <v>3</v>
      </c>
      <c r="L11">
        <v>0.9</v>
      </c>
      <c r="M11">
        <v>2</v>
      </c>
      <c r="N11" s="1">
        <v>621550</v>
      </c>
      <c r="O11">
        <v>0.1</v>
      </c>
      <c r="Q11" t="s">
        <v>8</v>
      </c>
      <c r="R11" s="6">
        <f t="shared" si="0"/>
        <v>13542136</v>
      </c>
    </row>
    <row r="12" spans="2:18" x14ac:dyDescent="0.45">
      <c r="B12">
        <v>0</v>
      </c>
      <c r="C12">
        <v>0</v>
      </c>
      <c r="D12" t="s">
        <v>147</v>
      </c>
      <c r="E12" t="s">
        <v>177</v>
      </c>
      <c r="F12" t="s">
        <v>479</v>
      </c>
      <c r="G12">
        <v>16</v>
      </c>
      <c r="H12">
        <v>10</v>
      </c>
      <c r="I12">
        <v>1</v>
      </c>
      <c r="J12">
        <v>0</v>
      </c>
      <c r="K12">
        <v>1</v>
      </c>
      <c r="L12">
        <v>1.5</v>
      </c>
      <c r="M12">
        <v>0.8</v>
      </c>
      <c r="N12" s="1">
        <v>258349</v>
      </c>
      <c r="O12">
        <v>0</v>
      </c>
      <c r="Q12" t="s">
        <v>406</v>
      </c>
      <c r="R12" s="6">
        <f t="shared" si="0"/>
        <v>61731</v>
      </c>
    </row>
    <row r="13" spans="2:18" x14ac:dyDescent="0.45">
      <c r="B13">
        <v>0</v>
      </c>
      <c r="C13">
        <v>0</v>
      </c>
      <c r="D13" t="s">
        <v>147</v>
      </c>
      <c r="E13" t="s">
        <v>176</v>
      </c>
      <c r="F13" t="s">
        <v>555</v>
      </c>
      <c r="G13">
        <v>18</v>
      </c>
      <c r="H13">
        <v>3</v>
      </c>
      <c r="I13">
        <v>0</v>
      </c>
      <c r="J13">
        <v>1</v>
      </c>
      <c r="K13" t="s">
        <v>477</v>
      </c>
      <c r="L13">
        <v>0.5</v>
      </c>
      <c r="M13">
        <v>0.6</v>
      </c>
      <c r="N13" s="1">
        <v>190814</v>
      </c>
      <c r="O13">
        <v>0.1</v>
      </c>
      <c r="Q13" t="s">
        <v>142</v>
      </c>
      <c r="R13" s="6">
        <f t="shared" si="0"/>
        <v>621550</v>
      </c>
    </row>
    <row r="14" spans="2:18" x14ac:dyDescent="0.45">
      <c r="B14">
        <v>0</v>
      </c>
      <c r="C14">
        <v>1</v>
      </c>
      <c r="D14" t="s">
        <v>132</v>
      </c>
      <c r="E14" t="s">
        <v>37</v>
      </c>
      <c r="F14" t="s">
        <v>603</v>
      </c>
      <c r="G14">
        <v>40</v>
      </c>
      <c r="H14">
        <v>4</v>
      </c>
      <c r="I14">
        <v>0</v>
      </c>
      <c r="J14">
        <v>0</v>
      </c>
      <c r="K14">
        <v>0</v>
      </c>
      <c r="L14">
        <v>0.6</v>
      </c>
      <c r="M14">
        <v>0.5</v>
      </c>
      <c r="N14" s="1">
        <v>161030</v>
      </c>
      <c r="O14">
        <v>0</v>
      </c>
      <c r="Q14" t="s">
        <v>149</v>
      </c>
      <c r="R14" s="6">
        <f>C4</f>
        <v>263374</v>
      </c>
    </row>
    <row r="15" spans="2:18" x14ac:dyDescent="0.45">
      <c r="B15">
        <v>0</v>
      </c>
      <c r="C15">
        <v>0</v>
      </c>
      <c r="D15" t="s">
        <v>147</v>
      </c>
      <c r="E15" t="s">
        <v>32</v>
      </c>
      <c r="F15" t="s">
        <v>262</v>
      </c>
      <c r="G15">
        <v>17</v>
      </c>
      <c r="H15">
        <v>2</v>
      </c>
      <c r="I15">
        <v>2</v>
      </c>
      <c r="J15">
        <v>0</v>
      </c>
      <c r="K15">
        <v>2</v>
      </c>
      <c r="L15">
        <v>0.3</v>
      </c>
      <c r="M15">
        <v>0.4</v>
      </c>
      <c r="N15" s="1">
        <v>126921</v>
      </c>
      <c r="O15">
        <v>0</v>
      </c>
    </row>
    <row r="16" spans="2:18" x14ac:dyDescent="0.45">
      <c r="B16">
        <v>0</v>
      </c>
      <c r="C16">
        <v>0</v>
      </c>
      <c r="D16" t="s">
        <v>147</v>
      </c>
      <c r="E16" t="s">
        <v>171</v>
      </c>
      <c r="F16" t="s">
        <v>476</v>
      </c>
      <c r="G16">
        <v>9</v>
      </c>
      <c r="H16">
        <v>2</v>
      </c>
      <c r="I16">
        <v>0</v>
      </c>
      <c r="J16">
        <v>1</v>
      </c>
      <c r="K16" t="s">
        <v>477</v>
      </c>
      <c r="L16">
        <v>0.3</v>
      </c>
      <c r="M16">
        <v>0.3</v>
      </c>
      <c r="N16" s="1">
        <v>107348</v>
      </c>
      <c r="O16">
        <v>0</v>
      </c>
      <c r="Q16" t="s">
        <v>147</v>
      </c>
      <c r="R16" s="6">
        <f t="shared" ref="R16" si="1">SUMIF($D$7:$D$51,Q16,$N$7:$N$51)</f>
        <v>852126</v>
      </c>
    </row>
    <row r="17" spans="2:18" x14ac:dyDescent="0.45">
      <c r="B17">
        <v>0</v>
      </c>
      <c r="C17">
        <v>0</v>
      </c>
      <c r="D17" t="s">
        <v>147</v>
      </c>
      <c r="E17" t="s">
        <v>182</v>
      </c>
      <c r="F17" t="s">
        <v>604</v>
      </c>
      <c r="G17">
        <v>193</v>
      </c>
      <c r="H17">
        <v>0</v>
      </c>
      <c r="I17">
        <v>0</v>
      </c>
      <c r="J17">
        <v>0</v>
      </c>
      <c r="K17">
        <v>0</v>
      </c>
      <c r="M17">
        <v>0.3</v>
      </c>
      <c r="N17" s="1">
        <v>105722</v>
      </c>
      <c r="O17" t="s">
        <v>473</v>
      </c>
      <c r="R17" s="9">
        <f>SUM(N7:N68)-R16</f>
        <v>30392813</v>
      </c>
    </row>
    <row r="18" spans="2:18" x14ac:dyDescent="0.45">
      <c r="B18">
        <v>0.5</v>
      </c>
      <c r="C18">
        <v>0.5</v>
      </c>
      <c r="D18" t="s">
        <v>132</v>
      </c>
      <c r="E18" t="s">
        <v>264</v>
      </c>
      <c r="F18" t="s">
        <v>473</v>
      </c>
      <c r="G18">
        <v>25</v>
      </c>
      <c r="H18">
        <v>1</v>
      </c>
      <c r="I18">
        <v>1</v>
      </c>
      <c r="J18">
        <v>0</v>
      </c>
      <c r="K18">
        <v>1</v>
      </c>
      <c r="L18">
        <v>0.2</v>
      </c>
      <c r="M18">
        <v>0.2</v>
      </c>
      <c r="N18" s="1">
        <v>64482</v>
      </c>
      <c r="O18">
        <v>0</v>
      </c>
    </row>
    <row r="19" spans="2:18" x14ac:dyDescent="0.45">
      <c r="B19">
        <v>0</v>
      </c>
      <c r="C19">
        <v>0</v>
      </c>
      <c r="D19" t="s">
        <v>147</v>
      </c>
      <c r="E19" t="s">
        <v>42</v>
      </c>
      <c r="F19" t="s">
        <v>605</v>
      </c>
      <c r="G19">
        <v>17</v>
      </c>
      <c r="H19">
        <v>0</v>
      </c>
      <c r="I19">
        <v>0</v>
      </c>
      <c r="J19">
        <v>0</v>
      </c>
      <c r="K19">
        <v>0</v>
      </c>
      <c r="M19">
        <v>0.2</v>
      </c>
      <c r="N19" s="1">
        <v>62972</v>
      </c>
      <c r="O19">
        <v>0</v>
      </c>
    </row>
    <row r="20" spans="2:18" x14ac:dyDescent="0.45">
      <c r="B20">
        <v>0</v>
      </c>
      <c r="C20">
        <v>0</v>
      </c>
      <c r="D20" t="s">
        <v>406</v>
      </c>
      <c r="E20" t="s">
        <v>406</v>
      </c>
      <c r="F20" t="s">
        <v>606</v>
      </c>
      <c r="G20">
        <v>89</v>
      </c>
      <c r="H20">
        <v>0</v>
      </c>
      <c r="I20">
        <v>0</v>
      </c>
      <c r="J20">
        <v>0</v>
      </c>
      <c r="K20">
        <v>0</v>
      </c>
      <c r="M20">
        <v>0.2</v>
      </c>
      <c r="N20" s="1">
        <v>61731</v>
      </c>
      <c r="O20" t="s">
        <v>474</v>
      </c>
    </row>
    <row r="21" spans="2:18" x14ac:dyDescent="0.45">
      <c r="B21">
        <v>0</v>
      </c>
      <c r="C21">
        <v>1</v>
      </c>
      <c r="D21" t="s">
        <v>132</v>
      </c>
      <c r="E21" t="s">
        <v>284</v>
      </c>
      <c r="F21" t="s">
        <v>285</v>
      </c>
      <c r="G21">
        <v>64</v>
      </c>
      <c r="H21">
        <v>0</v>
      </c>
      <c r="I21">
        <v>0</v>
      </c>
      <c r="J21">
        <v>0</v>
      </c>
      <c r="K21">
        <v>0</v>
      </c>
      <c r="M21">
        <v>0.2</v>
      </c>
      <c r="N21" s="1">
        <v>52109</v>
      </c>
      <c r="O21" t="s">
        <v>473</v>
      </c>
    </row>
    <row r="22" spans="2:18" x14ac:dyDescent="0.45">
      <c r="B22">
        <v>0</v>
      </c>
      <c r="C22">
        <v>1</v>
      </c>
      <c r="D22" t="s">
        <v>132</v>
      </c>
      <c r="E22" t="s">
        <v>186</v>
      </c>
      <c r="F22" t="s">
        <v>488</v>
      </c>
      <c r="G22">
        <v>53</v>
      </c>
      <c r="H22">
        <v>0</v>
      </c>
      <c r="I22">
        <v>0</v>
      </c>
      <c r="J22">
        <v>0</v>
      </c>
      <c r="K22">
        <v>0</v>
      </c>
      <c r="M22">
        <v>0.1</v>
      </c>
      <c r="N22" s="1">
        <v>45166</v>
      </c>
      <c r="O22" t="s">
        <v>478</v>
      </c>
    </row>
    <row r="23" spans="2:18" x14ac:dyDescent="0.45">
      <c r="B23">
        <v>1</v>
      </c>
      <c r="C23">
        <v>0</v>
      </c>
      <c r="D23" t="s">
        <v>132</v>
      </c>
      <c r="E23" t="s">
        <v>234</v>
      </c>
      <c r="F23" t="s">
        <v>607</v>
      </c>
      <c r="G23">
        <v>57</v>
      </c>
      <c r="H23">
        <v>0</v>
      </c>
      <c r="I23">
        <v>0</v>
      </c>
      <c r="J23">
        <v>0</v>
      </c>
      <c r="K23">
        <v>0</v>
      </c>
      <c r="M23">
        <v>0.1</v>
      </c>
      <c r="N23" s="1">
        <v>35832</v>
      </c>
      <c r="O23">
        <v>0</v>
      </c>
    </row>
    <row r="24" spans="2:18" x14ac:dyDescent="0.45">
      <c r="B24">
        <v>0</v>
      </c>
      <c r="C24">
        <v>1</v>
      </c>
      <c r="D24" t="s">
        <v>132</v>
      </c>
      <c r="E24" t="s">
        <v>608</v>
      </c>
      <c r="F24" t="s">
        <v>609</v>
      </c>
      <c r="G24">
        <v>197</v>
      </c>
      <c r="H24">
        <v>0</v>
      </c>
      <c r="I24">
        <v>0</v>
      </c>
      <c r="J24">
        <v>0</v>
      </c>
      <c r="K24">
        <v>0</v>
      </c>
      <c r="M24">
        <v>0.1</v>
      </c>
      <c r="N24" s="1">
        <v>30604</v>
      </c>
      <c r="O24" t="s">
        <v>478</v>
      </c>
    </row>
    <row r="25" spans="2:18" x14ac:dyDescent="0.45">
      <c r="B25">
        <v>0</v>
      </c>
      <c r="C25">
        <v>0</v>
      </c>
      <c r="D25" t="s">
        <v>8</v>
      </c>
      <c r="E25" t="s">
        <v>181</v>
      </c>
      <c r="F25" t="s">
        <v>610</v>
      </c>
      <c r="G25">
        <v>1</v>
      </c>
      <c r="H25">
        <v>1</v>
      </c>
      <c r="I25">
        <v>1</v>
      </c>
      <c r="J25">
        <v>0</v>
      </c>
      <c r="K25">
        <v>0</v>
      </c>
      <c r="M25">
        <v>0.1</v>
      </c>
      <c r="N25" s="1">
        <v>23969</v>
      </c>
    </row>
    <row r="26" spans="2:18" x14ac:dyDescent="0.45">
      <c r="B26">
        <v>1</v>
      </c>
      <c r="C26">
        <v>0</v>
      </c>
      <c r="D26" t="s">
        <v>132</v>
      </c>
      <c r="E26" t="s">
        <v>562</v>
      </c>
      <c r="F26" t="s">
        <v>563</v>
      </c>
      <c r="G26">
        <v>56</v>
      </c>
      <c r="H26">
        <v>0</v>
      </c>
      <c r="I26">
        <v>0</v>
      </c>
      <c r="J26">
        <v>0</v>
      </c>
      <c r="K26">
        <v>0</v>
      </c>
      <c r="M26">
        <v>0.1</v>
      </c>
      <c r="N26" s="1">
        <v>19332</v>
      </c>
      <c r="O26" t="s">
        <v>473</v>
      </c>
    </row>
    <row r="27" spans="2:18" x14ac:dyDescent="0.45">
      <c r="B27">
        <v>0</v>
      </c>
      <c r="C27">
        <v>0</v>
      </c>
      <c r="D27" t="s">
        <v>132</v>
      </c>
      <c r="E27" t="s">
        <v>560</v>
      </c>
      <c r="F27" t="s">
        <v>561</v>
      </c>
      <c r="G27">
        <v>1</v>
      </c>
      <c r="H27">
        <v>1</v>
      </c>
      <c r="I27">
        <v>1</v>
      </c>
      <c r="J27">
        <v>0</v>
      </c>
      <c r="K27">
        <v>1</v>
      </c>
      <c r="L27">
        <v>0.2</v>
      </c>
      <c r="M27">
        <v>0</v>
      </c>
      <c r="N27" s="1">
        <v>12817</v>
      </c>
      <c r="O27" t="s">
        <v>473</v>
      </c>
    </row>
    <row r="28" spans="2:18" x14ac:dyDescent="0.45">
      <c r="B28">
        <v>0</v>
      </c>
      <c r="C28">
        <v>0</v>
      </c>
      <c r="D28" t="s">
        <v>132</v>
      </c>
      <c r="E28" t="s">
        <v>567</v>
      </c>
      <c r="F28" t="s">
        <v>568</v>
      </c>
      <c r="G28">
        <v>3</v>
      </c>
      <c r="H28">
        <v>0</v>
      </c>
      <c r="I28">
        <v>0</v>
      </c>
      <c r="J28">
        <v>0</v>
      </c>
      <c r="K28">
        <v>0</v>
      </c>
      <c r="M28">
        <v>0</v>
      </c>
      <c r="N28" s="1">
        <v>10928</v>
      </c>
      <c r="O28" t="s">
        <v>473</v>
      </c>
    </row>
    <row r="29" spans="2:18" x14ac:dyDescent="0.45">
      <c r="B29">
        <v>0</v>
      </c>
      <c r="C29">
        <v>0</v>
      </c>
      <c r="D29" t="s">
        <v>132</v>
      </c>
      <c r="E29" t="s">
        <v>611</v>
      </c>
      <c r="F29" t="s">
        <v>612</v>
      </c>
      <c r="G29">
        <v>21</v>
      </c>
      <c r="H29">
        <v>0</v>
      </c>
      <c r="I29">
        <v>0</v>
      </c>
      <c r="J29">
        <v>0</v>
      </c>
      <c r="K29">
        <v>0</v>
      </c>
      <c r="M29">
        <v>0</v>
      </c>
      <c r="N29" s="1">
        <v>10829</v>
      </c>
      <c r="O29" t="s">
        <v>473</v>
      </c>
    </row>
    <row r="30" spans="2:18" x14ac:dyDescent="0.45">
      <c r="B30">
        <v>0</v>
      </c>
      <c r="C30">
        <v>0</v>
      </c>
      <c r="D30" t="s">
        <v>132</v>
      </c>
      <c r="E30" t="s">
        <v>430</v>
      </c>
      <c r="F30" t="s">
        <v>431</v>
      </c>
      <c r="H30">
        <v>0</v>
      </c>
      <c r="I30">
        <v>0</v>
      </c>
      <c r="J30">
        <v>0</v>
      </c>
      <c r="K30">
        <v>0</v>
      </c>
      <c r="M30">
        <v>0</v>
      </c>
      <c r="N30" s="1">
        <v>9906</v>
      </c>
      <c r="O30" t="s">
        <v>473</v>
      </c>
    </row>
    <row r="31" spans="2:18" x14ac:dyDescent="0.45">
      <c r="B31">
        <v>0</v>
      </c>
      <c r="C31">
        <v>0</v>
      </c>
      <c r="D31" t="s">
        <v>132</v>
      </c>
      <c r="E31" t="s">
        <v>357</v>
      </c>
      <c r="F31" t="s">
        <v>557</v>
      </c>
      <c r="G31">
        <v>16</v>
      </c>
      <c r="H31">
        <v>0</v>
      </c>
      <c r="I31">
        <v>0</v>
      </c>
      <c r="J31">
        <v>0</v>
      </c>
      <c r="K31">
        <v>0</v>
      </c>
      <c r="M31">
        <v>0</v>
      </c>
      <c r="N31" s="1">
        <v>9740</v>
      </c>
      <c r="O31" t="s">
        <v>473</v>
      </c>
    </row>
    <row r="32" spans="2:18" x14ac:dyDescent="0.45">
      <c r="B32">
        <v>0</v>
      </c>
      <c r="C32">
        <v>0</v>
      </c>
      <c r="D32" t="s">
        <v>132</v>
      </c>
      <c r="E32" t="s">
        <v>264</v>
      </c>
      <c r="F32" t="s">
        <v>473</v>
      </c>
      <c r="G32">
        <v>4</v>
      </c>
      <c r="H32">
        <v>0</v>
      </c>
      <c r="I32">
        <v>0</v>
      </c>
      <c r="J32">
        <v>0</v>
      </c>
      <c r="K32">
        <v>0</v>
      </c>
      <c r="M32">
        <v>0</v>
      </c>
      <c r="N32" s="1">
        <v>9233</v>
      </c>
      <c r="O32" t="s">
        <v>613</v>
      </c>
    </row>
    <row r="33" spans="2:15" x14ac:dyDescent="0.45">
      <c r="B33">
        <v>0</v>
      </c>
      <c r="C33">
        <v>0</v>
      </c>
      <c r="D33" t="s">
        <v>132</v>
      </c>
      <c r="E33" t="s">
        <v>614</v>
      </c>
      <c r="F33" t="s">
        <v>473</v>
      </c>
      <c r="G33">
        <v>4</v>
      </c>
      <c r="H33">
        <v>0</v>
      </c>
      <c r="I33">
        <v>0</v>
      </c>
      <c r="J33">
        <v>0</v>
      </c>
      <c r="K33">
        <v>0</v>
      </c>
      <c r="M33">
        <v>0</v>
      </c>
      <c r="N33" s="1">
        <v>8608</v>
      </c>
      <c r="O33" t="s">
        <v>478</v>
      </c>
    </row>
    <row r="34" spans="2:15" x14ac:dyDescent="0.45">
      <c r="B34">
        <v>0</v>
      </c>
      <c r="C34">
        <v>0</v>
      </c>
      <c r="D34" t="s">
        <v>132</v>
      </c>
      <c r="E34" t="s">
        <v>84</v>
      </c>
      <c r="F34" t="s">
        <v>615</v>
      </c>
      <c r="G34">
        <v>24</v>
      </c>
      <c r="H34">
        <v>0</v>
      </c>
      <c r="I34">
        <v>0</v>
      </c>
      <c r="J34">
        <v>0</v>
      </c>
      <c r="K34">
        <v>0</v>
      </c>
      <c r="M34">
        <v>0</v>
      </c>
      <c r="N34" s="1">
        <v>7906</v>
      </c>
      <c r="O34" t="s">
        <v>478</v>
      </c>
    </row>
    <row r="35" spans="2:15" x14ac:dyDescent="0.45">
      <c r="B35">
        <v>0</v>
      </c>
      <c r="C35">
        <v>0</v>
      </c>
      <c r="D35" t="s">
        <v>132</v>
      </c>
      <c r="E35" t="s">
        <v>616</v>
      </c>
      <c r="F35" t="s">
        <v>498</v>
      </c>
      <c r="G35">
        <v>29</v>
      </c>
      <c r="H35">
        <v>0</v>
      </c>
      <c r="I35">
        <v>0</v>
      </c>
      <c r="J35">
        <v>0</v>
      </c>
      <c r="K35">
        <v>0</v>
      </c>
      <c r="M35">
        <v>0</v>
      </c>
      <c r="N35" s="1">
        <v>3745</v>
      </c>
      <c r="O35" t="s">
        <v>473</v>
      </c>
    </row>
    <row r="36" spans="2:15" x14ac:dyDescent="0.45">
      <c r="B36">
        <v>0</v>
      </c>
      <c r="C36">
        <v>0</v>
      </c>
      <c r="D36" t="s">
        <v>132</v>
      </c>
      <c r="E36" t="s">
        <v>569</v>
      </c>
      <c r="F36" t="s">
        <v>570</v>
      </c>
      <c r="G36">
        <v>3</v>
      </c>
      <c r="H36">
        <v>0</v>
      </c>
      <c r="I36">
        <v>0</v>
      </c>
      <c r="J36">
        <v>0</v>
      </c>
      <c r="K36">
        <v>0</v>
      </c>
      <c r="M36">
        <v>0</v>
      </c>
      <c r="N36" s="1">
        <v>3024</v>
      </c>
      <c r="O36" t="s">
        <v>473</v>
      </c>
    </row>
    <row r="37" spans="2:15" x14ac:dyDescent="0.45">
      <c r="B37">
        <v>0</v>
      </c>
      <c r="C37">
        <v>0</v>
      </c>
      <c r="D37" t="s">
        <v>132</v>
      </c>
      <c r="E37" t="s">
        <v>288</v>
      </c>
      <c r="F37" t="s">
        <v>617</v>
      </c>
      <c r="G37">
        <v>8</v>
      </c>
      <c r="H37">
        <v>0</v>
      </c>
      <c r="I37">
        <v>0</v>
      </c>
      <c r="J37">
        <v>0</v>
      </c>
      <c r="K37">
        <v>0</v>
      </c>
      <c r="M37">
        <v>0</v>
      </c>
      <c r="N37" s="1">
        <v>2766</v>
      </c>
      <c r="O37" t="s">
        <v>478</v>
      </c>
    </row>
    <row r="38" spans="2:15" x14ac:dyDescent="0.45">
      <c r="B38">
        <v>0</v>
      </c>
      <c r="C38">
        <v>0</v>
      </c>
      <c r="D38" t="s">
        <v>132</v>
      </c>
      <c r="E38" t="s">
        <v>344</v>
      </c>
      <c r="F38" t="s">
        <v>618</v>
      </c>
      <c r="G38">
        <v>6</v>
      </c>
      <c r="H38">
        <v>0</v>
      </c>
      <c r="I38">
        <v>0</v>
      </c>
      <c r="J38">
        <v>0</v>
      </c>
      <c r="K38">
        <v>0</v>
      </c>
      <c r="M38">
        <v>0</v>
      </c>
      <c r="N38" s="1">
        <v>2716</v>
      </c>
      <c r="O38" t="s">
        <v>473</v>
      </c>
    </row>
    <row r="39" spans="2:15" x14ac:dyDescent="0.45">
      <c r="B39">
        <v>0</v>
      </c>
      <c r="C39">
        <v>0</v>
      </c>
      <c r="D39" t="s">
        <v>132</v>
      </c>
      <c r="E39" t="s">
        <v>619</v>
      </c>
      <c r="F39" t="s">
        <v>620</v>
      </c>
      <c r="G39">
        <v>4</v>
      </c>
      <c r="H39">
        <v>0</v>
      </c>
      <c r="I39">
        <v>0</v>
      </c>
      <c r="J39">
        <v>0</v>
      </c>
      <c r="K39">
        <v>0</v>
      </c>
      <c r="M39">
        <v>0</v>
      </c>
      <c r="N39" s="1">
        <v>2085</v>
      </c>
      <c r="O39" t="s">
        <v>473</v>
      </c>
    </row>
    <row r="40" spans="2:15" x14ac:dyDescent="0.45">
      <c r="B40">
        <v>0</v>
      </c>
      <c r="C40">
        <v>0</v>
      </c>
      <c r="D40" t="s">
        <v>132</v>
      </c>
      <c r="E40" t="s">
        <v>621</v>
      </c>
      <c r="F40" t="s">
        <v>622</v>
      </c>
      <c r="G40">
        <v>1</v>
      </c>
      <c r="H40">
        <v>0</v>
      </c>
      <c r="I40">
        <v>0</v>
      </c>
      <c r="J40">
        <v>0</v>
      </c>
      <c r="K40">
        <v>0</v>
      </c>
      <c r="M40">
        <v>0</v>
      </c>
      <c r="N40" s="1">
        <v>1995</v>
      </c>
      <c r="O40" t="s">
        <v>473</v>
      </c>
    </row>
    <row r="41" spans="2:15" x14ac:dyDescent="0.45">
      <c r="B41">
        <v>0</v>
      </c>
      <c r="C41">
        <v>0</v>
      </c>
      <c r="D41" t="s">
        <v>132</v>
      </c>
      <c r="E41" t="s">
        <v>205</v>
      </c>
      <c r="F41" t="s">
        <v>623</v>
      </c>
      <c r="G41">
        <v>4</v>
      </c>
      <c r="H41">
        <v>0</v>
      </c>
      <c r="I41">
        <v>0</v>
      </c>
      <c r="J41">
        <v>0</v>
      </c>
      <c r="K41">
        <v>0</v>
      </c>
      <c r="M41">
        <v>0</v>
      </c>
      <c r="N41" s="1">
        <v>1906</v>
      </c>
      <c r="O41" t="s">
        <v>473</v>
      </c>
    </row>
    <row r="42" spans="2:15" x14ac:dyDescent="0.45">
      <c r="B42">
        <v>0</v>
      </c>
      <c r="C42">
        <v>0</v>
      </c>
      <c r="D42" t="s">
        <v>132</v>
      </c>
      <c r="E42" t="s">
        <v>406</v>
      </c>
      <c r="F42" t="s">
        <v>624</v>
      </c>
      <c r="G42">
        <v>5</v>
      </c>
      <c r="H42">
        <v>0</v>
      </c>
      <c r="I42">
        <v>0</v>
      </c>
      <c r="J42">
        <v>0</v>
      </c>
      <c r="K42">
        <v>0</v>
      </c>
      <c r="M42">
        <v>0</v>
      </c>
      <c r="N42" s="1">
        <v>1721</v>
      </c>
    </row>
    <row r="43" spans="2:15" x14ac:dyDescent="0.45">
      <c r="B43">
        <v>0</v>
      </c>
      <c r="C43">
        <v>0</v>
      </c>
      <c r="D43" t="s">
        <v>132</v>
      </c>
      <c r="E43" t="s">
        <v>625</v>
      </c>
      <c r="F43" t="s">
        <v>626</v>
      </c>
      <c r="G43">
        <v>1</v>
      </c>
      <c r="H43">
        <v>0</v>
      </c>
      <c r="I43">
        <v>0</v>
      </c>
      <c r="J43">
        <v>0</v>
      </c>
      <c r="K43">
        <v>0</v>
      </c>
      <c r="M43">
        <v>0</v>
      </c>
      <c r="N43" s="1">
        <v>1434</v>
      </c>
      <c r="O43" t="s">
        <v>473</v>
      </c>
    </row>
    <row r="44" spans="2:15" x14ac:dyDescent="0.45">
      <c r="B44">
        <v>0</v>
      </c>
      <c r="C44">
        <v>0</v>
      </c>
      <c r="D44" t="s">
        <v>132</v>
      </c>
      <c r="E44" t="s">
        <v>356</v>
      </c>
      <c r="F44" t="s">
        <v>520</v>
      </c>
      <c r="G44">
        <v>5</v>
      </c>
      <c r="H44">
        <v>0</v>
      </c>
      <c r="I44">
        <v>0</v>
      </c>
      <c r="J44">
        <v>0</v>
      </c>
      <c r="K44">
        <v>0</v>
      </c>
      <c r="M44">
        <v>0</v>
      </c>
      <c r="N44" s="1">
        <v>1359</v>
      </c>
      <c r="O44" t="s">
        <v>473</v>
      </c>
    </row>
    <row r="45" spans="2:15" x14ac:dyDescent="0.45">
      <c r="B45">
        <v>0</v>
      </c>
      <c r="C45">
        <v>0</v>
      </c>
      <c r="D45" t="s">
        <v>132</v>
      </c>
      <c r="E45" t="s">
        <v>627</v>
      </c>
      <c r="F45" t="s">
        <v>628</v>
      </c>
      <c r="G45">
        <v>1</v>
      </c>
      <c r="H45">
        <v>0</v>
      </c>
      <c r="I45">
        <v>0</v>
      </c>
      <c r="J45">
        <v>0</v>
      </c>
      <c r="K45">
        <v>0</v>
      </c>
      <c r="M45">
        <v>0</v>
      </c>
      <c r="N45" s="1">
        <v>1290</v>
      </c>
      <c r="O45" t="s">
        <v>473</v>
      </c>
    </row>
    <row r="46" spans="2:15" x14ac:dyDescent="0.45">
      <c r="B46">
        <v>0</v>
      </c>
      <c r="C46">
        <v>0</v>
      </c>
      <c r="D46" t="s">
        <v>132</v>
      </c>
      <c r="E46" t="s">
        <v>629</v>
      </c>
      <c r="G46">
        <v>1</v>
      </c>
      <c r="H46">
        <v>0</v>
      </c>
      <c r="I46">
        <v>0</v>
      </c>
      <c r="J46">
        <v>0</v>
      </c>
      <c r="K46">
        <v>0</v>
      </c>
      <c r="M46">
        <v>0</v>
      </c>
      <c r="N46" s="1">
        <v>1263</v>
      </c>
      <c r="O46" t="s">
        <v>473</v>
      </c>
    </row>
    <row r="47" spans="2:15" x14ac:dyDescent="0.45">
      <c r="B47">
        <v>0</v>
      </c>
      <c r="C47">
        <v>0</v>
      </c>
      <c r="D47" t="s">
        <v>132</v>
      </c>
      <c r="E47" t="s">
        <v>195</v>
      </c>
      <c r="F47" t="s">
        <v>630</v>
      </c>
      <c r="G47">
        <v>2</v>
      </c>
      <c r="H47">
        <v>0</v>
      </c>
      <c r="I47">
        <v>0</v>
      </c>
      <c r="J47">
        <v>0</v>
      </c>
      <c r="K47">
        <v>0</v>
      </c>
      <c r="M47">
        <v>0</v>
      </c>
      <c r="N47" s="1">
        <v>1246</v>
      </c>
      <c r="O47" t="s">
        <v>478</v>
      </c>
    </row>
    <row r="48" spans="2:15" x14ac:dyDescent="0.45">
      <c r="B48">
        <v>0</v>
      </c>
      <c r="C48">
        <v>0</v>
      </c>
      <c r="D48" t="s">
        <v>132</v>
      </c>
      <c r="E48" t="s">
        <v>232</v>
      </c>
      <c r="F48" t="s">
        <v>287</v>
      </c>
      <c r="G48">
        <v>9</v>
      </c>
      <c r="H48">
        <v>0</v>
      </c>
      <c r="I48">
        <v>0</v>
      </c>
      <c r="J48">
        <v>0</v>
      </c>
      <c r="K48">
        <v>0</v>
      </c>
      <c r="M48">
        <v>0</v>
      </c>
      <c r="N48" s="1">
        <v>1178</v>
      </c>
      <c r="O48" t="s">
        <v>473</v>
      </c>
    </row>
    <row r="49" spans="2:15" x14ac:dyDescent="0.45">
      <c r="B49">
        <v>0</v>
      </c>
      <c r="C49">
        <v>0</v>
      </c>
      <c r="D49" t="s">
        <v>132</v>
      </c>
      <c r="E49" t="s">
        <v>631</v>
      </c>
      <c r="F49" t="s">
        <v>473</v>
      </c>
      <c r="G49">
        <v>1</v>
      </c>
      <c r="H49">
        <v>0</v>
      </c>
      <c r="I49">
        <v>0</v>
      </c>
      <c r="J49">
        <v>0</v>
      </c>
      <c r="K49">
        <v>0</v>
      </c>
      <c r="M49">
        <v>0</v>
      </c>
      <c r="N49" s="1">
        <v>1117</v>
      </c>
      <c r="O49" t="s">
        <v>473</v>
      </c>
    </row>
    <row r="50" spans="2:15" x14ac:dyDescent="0.45">
      <c r="B50">
        <v>0</v>
      </c>
      <c r="C50">
        <v>0</v>
      </c>
      <c r="D50" t="s">
        <v>132</v>
      </c>
      <c r="E50" t="s">
        <v>632</v>
      </c>
      <c r="F50" t="s">
        <v>473</v>
      </c>
      <c r="H50">
        <v>0</v>
      </c>
      <c r="I50">
        <v>0</v>
      </c>
      <c r="J50">
        <v>0</v>
      </c>
      <c r="K50">
        <v>0</v>
      </c>
      <c r="M50">
        <v>0</v>
      </c>
      <c r="N50">
        <v>982</v>
      </c>
    </row>
    <row r="51" spans="2:15" x14ac:dyDescent="0.45">
      <c r="B51">
        <v>0</v>
      </c>
      <c r="C51">
        <v>0</v>
      </c>
      <c r="D51" t="s">
        <v>132</v>
      </c>
      <c r="E51" t="s">
        <v>264</v>
      </c>
      <c r="F51" t="s">
        <v>473</v>
      </c>
      <c r="H51">
        <v>0</v>
      </c>
      <c r="I51">
        <v>0</v>
      </c>
      <c r="J51">
        <v>0</v>
      </c>
      <c r="K51">
        <v>0</v>
      </c>
      <c r="M51">
        <v>0</v>
      </c>
      <c r="N51">
        <v>890</v>
      </c>
    </row>
    <row r="52" spans="2:15" x14ac:dyDescent="0.45">
      <c r="B52">
        <v>0</v>
      </c>
      <c r="C52">
        <v>0</v>
      </c>
      <c r="D52" t="s">
        <v>132</v>
      </c>
      <c r="E52" t="s">
        <v>444</v>
      </c>
      <c r="F52" t="s">
        <v>633</v>
      </c>
      <c r="G52">
        <v>3</v>
      </c>
      <c r="H52">
        <v>0</v>
      </c>
      <c r="I52">
        <v>0</v>
      </c>
      <c r="J52">
        <v>0</v>
      </c>
      <c r="K52">
        <v>0</v>
      </c>
      <c r="M52">
        <v>0</v>
      </c>
      <c r="N52">
        <v>639</v>
      </c>
    </row>
    <row r="53" spans="2:15" x14ac:dyDescent="0.45">
      <c r="B53">
        <v>0</v>
      </c>
      <c r="C53">
        <v>0</v>
      </c>
      <c r="D53" t="s">
        <v>132</v>
      </c>
      <c r="E53" t="s">
        <v>264</v>
      </c>
      <c r="F53" t="s">
        <v>473</v>
      </c>
      <c r="G53">
        <v>1</v>
      </c>
      <c r="H53">
        <v>0</v>
      </c>
      <c r="I53">
        <v>0</v>
      </c>
      <c r="J53">
        <v>0</v>
      </c>
      <c r="K53">
        <v>0</v>
      </c>
      <c r="M53">
        <v>0</v>
      </c>
      <c r="N53">
        <v>593</v>
      </c>
    </row>
    <row r="54" spans="2:15" x14ac:dyDescent="0.45">
      <c r="B54">
        <v>0</v>
      </c>
      <c r="C54">
        <v>0</v>
      </c>
      <c r="D54" t="s">
        <v>132</v>
      </c>
      <c r="E54" t="s">
        <v>325</v>
      </c>
      <c r="G54">
        <v>1</v>
      </c>
      <c r="H54">
        <v>0</v>
      </c>
      <c r="I54">
        <v>0</v>
      </c>
      <c r="J54">
        <v>0</v>
      </c>
      <c r="K54">
        <v>0</v>
      </c>
      <c r="M54">
        <v>0</v>
      </c>
      <c r="N54">
        <v>539</v>
      </c>
    </row>
    <row r="55" spans="2:15" x14ac:dyDescent="0.45">
      <c r="B55">
        <v>0</v>
      </c>
      <c r="C55">
        <v>0</v>
      </c>
      <c r="D55" t="s">
        <v>132</v>
      </c>
      <c r="E55" t="s">
        <v>634</v>
      </c>
      <c r="F55" t="s">
        <v>635</v>
      </c>
      <c r="G55">
        <v>3</v>
      </c>
      <c r="H55">
        <v>0</v>
      </c>
      <c r="I55">
        <v>0</v>
      </c>
      <c r="J55">
        <v>0</v>
      </c>
      <c r="K55">
        <v>0</v>
      </c>
      <c r="M55">
        <v>0</v>
      </c>
      <c r="N55">
        <v>505</v>
      </c>
    </row>
  </sheetData>
  <conditionalFormatting sqref="B7:C55">
    <cfRule type="colorScale" priority="4">
      <colorScale>
        <cfvo type="min"/>
        <cfvo type="max"/>
        <color rgb="FFFCFCFF"/>
        <color rgb="FF63BE7B"/>
      </colorScale>
    </cfRule>
  </conditionalFormatting>
  <conditionalFormatting sqref="R8:R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369C5-6234-4C49-98D0-3790C0CC8094}">
  <dimension ref="A3:Q40"/>
  <sheetViews>
    <sheetView workbookViewId="0">
      <selection activeCell="Q7" sqref="Q7:Q14"/>
    </sheetView>
  </sheetViews>
  <sheetFormatPr defaultRowHeight="14.25" x14ac:dyDescent="0.45"/>
  <cols>
    <col min="13" max="13" width="12.06640625" customWidth="1"/>
    <col min="17" max="17" width="14.53125" customWidth="1"/>
  </cols>
  <sheetData>
    <row r="3" spans="1:17" x14ac:dyDescent="0.45">
      <c r="A3">
        <f>SUMPRODUCT(A6:A74,$M$6:$M$74)</f>
        <v>55150</v>
      </c>
      <c r="B3">
        <f>SUMPRODUCT(B6:B74,$M$6:$M$74)</f>
        <v>292077</v>
      </c>
    </row>
    <row r="4" spans="1:17" x14ac:dyDescent="0.45"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151</v>
      </c>
      <c r="M4" t="s">
        <v>151</v>
      </c>
      <c r="N4" t="s">
        <v>151</v>
      </c>
    </row>
    <row r="5" spans="1:17" x14ac:dyDescent="0.45">
      <c r="A5" t="s">
        <v>148</v>
      </c>
      <c r="B5" t="s">
        <v>149</v>
      </c>
      <c r="D5" t="s">
        <v>540</v>
      </c>
      <c r="E5" t="s">
        <v>1</v>
      </c>
      <c r="F5" t="s">
        <v>541</v>
      </c>
      <c r="G5" t="s">
        <v>391</v>
      </c>
      <c r="H5" t="s">
        <v>154</v>
      </c>
      <c r="I5" t="s">
        <v>542</v>
      </c>
      <c r="J5" t="s">
        <v>6</v>
      </c>
      <c r="K5" t="s">
        <v>543</v>
      </c>
      <c r="L5" t="s">
        <v>239</v>
      </c>
      <c r="M5" t="s">
        <v>544</v>
      </c>
      <c r="N5" t="s">
        <v>545</v>
      </c>
    </row>
    <row r="6" spans="1:17" x14ac:dyDescent="0.45">
      <c r="A6">
        <v>0</v>
      </c>
      <c r="B6">
        <v>0</v>
      </c>
      <c r="C6" t="s">
        <v>15</v>
      </c>
      <c r="D6" t="s">
        <v>15</v>
      </c>
      <c r="E6" t="s">
        <v>596</v>
      </c>
      <c r="F6">
        <v>645</v>
      </c>
      <c r="G6">
        <v>336</v>
      </c>
      <c r="H6">
        <v>3</v>
      </c>
      <c r="I6">
        <v>44</v>
      </c>
      <c r="J6" t="s">
        <v>636</v>
      </c>
      <c r="K6">
        <v>51.69</v>
      </c>
      <c r="L6">
        <v>41.9</v>
      </c>
      <c r="M6" s="1">
        <v>14094116</v>
      </c>
      <c r="N6" t="s">
        <v>408</v>
      </c>
    </row>
    <row r="7" spans="1:17" x14ac:dyDescent="0.45">
      <c r="A7">
        <v>0</v>
      </c>
      <c r="B7">
        <v>0</v>
      </c>
      <c r="C7" t="s">
        <v>8</v>
      </c>
      <c r="D7" t="s">
        <v>8</v>
      </c>
      <c r="E7" t="s">
        <v>637</v>
      </c>
      <c r="F7" t="s">
        <v>638</v>
      </c>
      <c r="G7" t="s">
        <v>639</v>
      </c>
      <c r="H7">
        <v>43</v>
      </c>
      <c r="I7">
        <v>1</v>
      </c>
      <c r="J7" t="s">
        <v>640</v>
      </c>
      <c r="K7" t="s">
        <v>641</v>
      </c>
      <c r="L7" t="s">
        <v>642</v>
      </c>
      <c r="M7" s="1">
        <v>11557062</v>
      </c>
      <c r="N7" t="s">
        <v>643</v>
      </c>
      <c r="P7" t="s">
        <v>148</v>
      </c>
      <c r="Q7">
        <f>A3</f>
        <v>55150</v>
      </c>
    </row>
    <row r="8" spans="1:17" x14ac:dyDescent="0.45">
      <c r="A8">
        <v>0</v>
      </c>
      <c r="B8">
        <v>0</v>
      </c>
      <c r="C8" t="s">
        <v>20</v>
      </c>
      <c r="D8" t="s">
        <v>20</v>
      </c>
      <c r="E8" t="s">
        <v>599</v>
      </c>
      <c r="F8">
        <v>632</v>
      </c>
      <c r="G8">
        <v>20</v>
      </c>
      <c r="H8">
        <v>4</v>
      </c>
      <c r="I8">
        <v>6</v>
      </c>
      <c r="J8" t="s">
        <v>267</v>
      </c>
      <c r="K8">
        <v>3.07</v>
      </c>
      <c r="L8">
        <v>17.8</v>
      </c>
      <c r="M8" s="1">
        <v>6027038</v>
      </c>
      <c r="N8" t="s">
        <v>644</v>
      </c>
      <c r="P8" t="s">
        <v>238</v>
      </c>
      <c r="Q8" s="6">
        <f>SUMIF($C$6:$C$50,P8,$M$6:$M$50)</f>
        <v>0</v>
      </c>
    </row>
    <row r="9" spans="1:17" x14ac:dyDescent="0.45">
      <c r="A9">
        <v>0</v>
      </c>
      <c r="B9">
        <v>0</v>
      </c>
      <c r="C9" t="s">
        <v>142</v>
      </c>
      <c r="D9" t="s">
        <v>142</v>
      </c>
      <c r="E9" t="s">
        <v>65</v>
      </c>
      <c r="F9">
        <v>72</v>
      </c>
      <c r="G9">
        <v>3</v>
      </c>
      <c r="K9">
        <v>0.46</v>
      </c>
      <c r="L9">
        <v>1.9</v>
      </c>
      <c r="M9" s="1">
        <v>629552</v>
      </c>
      <c r="N9">
        <v>0.6</v>
      </c>
      <c r="P9" t="s">
        <v>15</v>
      </c>
      <c r="Q9" s="6">
        <f t="shared" ref="Q9:Q13" si="0">SUMIF($C$6:$C$50,P9,$M$6:$M$50)</f>
        <v>14094116</v>
      </c>
    </row>
    <row r="10" spans="1:17" x14ac:dyDescent="0.45">
      <c r="A10">
        <v>0</v>
      </c>
      <c r="B10">
        <v>0</v>
      </c>
      <c r="C10" t="s">
        <v>147</v>
      </c>
      <c r="D10" t="s">
        <v>177</v>
      </c>
      <c r="E10" t="s">
        <v>645</v>
      </c>
      <c r="F10">
        <v>13</v>
      </c>
      <c r="G10">
        <v>9</v>
      </c>
      <c r="K10">
        <v>1.38</v>
      </c>
      <c r="L10">
        <v>0.8</v>
      </c>
      <c r="M10" s="1">
        <v>270749</v>
      </c>
      <c r="N10">
        <v>0</v>
      </c>
      <c r="P10" t="s">
        <v>20</v>
      </c>
      <c r="Q10" s="6">
        <f t="shared" si="0"/>
        <v>6027038</v>
      </c>
    </row>
    <row r="11" spans="1:17" x14ac:dyDescent="0.45">
      <c r="A11">
        <v>0</v>
      </c>
      <c r="B11">
        <v>0</v>
      </c>
      <c r="C11" t="s">
        <v>147</v>
      </c>
      <c r="D11" t="s">
        <v>176</v>
      </c>
      <c r="E11" t="s">
        <v>555</v>
      </c>
      <c r="F11">
        <v>13</v>
      </c>
      <c r="G11">
        <v>4</v>
      </c>
      <c r="H11">
        <v>1</v>
      </c>
      <c r="J11">
        <v>1</v>
      </c>
      <c r="K11">
        <v>0.61</v>
      </c>
      <c r="L11">
        <v>0.5</v>
      </c>
      <c r="M11" s="1">
        <v>184445</v>
      </c>
      <c r="N11">
        <v>0</v>
      </c>
      <c r="P11" t="s">
        <v>8</v>
      </c>
      <c r="Q11" s="6">
        <f t="shared" si="0"/>
        <v>11557062</v>
      </c>
    </row>
    <row r="12" spans="1:17" x14ac:dyDescent="0.45">
      <c r="A12">
        <v>0</v>
      </c>
      <c r="B12">
        <v>0</v>
      </c>
      <c r="C12" t="s">
        <v>406</v>
      </c>
      <c r="D12" t="s">
        <v>406</v>
      </c>
      <c r="E12" t="s">
        <v>646</v>
      </c>
      <c r="F12">
        <v>253</v>
      </c>
      <c r="G12">
        <v>0</v>
      </c>
      <c r="K12">
        <v>0</v>
      </c>
      <c r="L12">
        <v>0.5</v>
      </c>
      <c r="M12" s="1">
        <v>170047</v>
      </c>
      <c r="N12">
        <v>0.2</v>
      </c>
      <c r="P12" t="s">
        <v>406</v>
      </c>
      <c r="Q12" s="6">
        <f t="shared" si="0"/>
        <v>170047</v>
      </c>
    </row>
    <row r="13" spans="1:17" x14ac:dyDescent="0.45">
      <c r="A13">
        <v>0</v>
      </c>
      <c r="B13">
        <v>1</v>
      </c>
      <c r="C13" t="s">
        <v>132</v>
      </c>
      <c r="D13" t="s">
        <v>37</v>
      </c>
      <c r="E13" t="s">
        <v>603</v>
      </c>
      <c r="F13">
        <v>38</v>
      </c>
      <c r="G13">
        <v>4</v>
      </c>
      <c r="H13">
        <v>1</v>
      </c>
      <c r="J13">
        <v>1</v>
      </c>
      <c r="K13">
        <v>0.61</v>
      </c>
      <c r="L13">
        <v>0.5</v>
      </c>
      <c r="M13" s="1">
        <v>156796</v>
      </c>
      <c r="N13">
        <v>0.1</v>
      </c>
      <c r="P13" t="s">
        <v>142</v>
      </c>
      <c r="Q13" s="6">
        <f t="shared" si="0"/>
        <v>629552</v>
      </c>
    </row>
    <row r="14" spans="1:17" x14ac:dyDescent="0.45">
      <c r="A14">
        <v>0</v>
      </c>
      <c r="B14">
        <v>0</v>
      </c>
      <c r="C14" t="s">
        <v>147</v>
      </c>
      <c r="D14" t="s">
        <v>171</v>
      </c>
      <c r="E14" t="s">
        <v>476</v>
      </c>
      <c r="F14">
        <v>7</v>
      </c>
      <c r="G14">
        <v>3</v>
      </c>
      <c r="K14">
        <v>0.46</v>
      </c>
      <c r="L14">
        <v>0.3</v>
      </c>
      <c r="M14" s="1">
        <v>103039</v>
      </c>
      <c r="N14">
        <v>0</v>
      </c>
      <c r="P14" t="s">
        <v>149</v>
      </c>
      <c r="Q14" s="6">
        <f>B3</f>
        <v>292077</v>
      </c>
    </row>
    <row r="15" spans="1:17" x14ac:dyDescent="0.45">
      <c r="A15">
        <v>0</v>
      </c>
      <c r="B15">
        <v>0</v>
      </c>
      <c r="C15" t="s">
        <v>147</v>
      </c>
      <c r="D15" t="s">
        <v>32</v>
      </c>
      <c r="E15" t="s">
        <v>262</v>
      </c>
      <c r="F15">
        <v>14</v>
      </c>
      <c r="G15">
        <v>0</v>
      </c>
      <c r="I15">
        <v>1</v>
      </c>
      <c r="J15" t="s">
        <v>258</v>
      </c>
      <c r="K15">
        <v>0</v>
      </c>
      <c r="L15">
        <v>0.2</v>
      </c>
      <c r="M15" s="1">
        <v>78291</v>
      </c>
      <c r="N15" t="s">
        <v>173</v>
      </c>
    </row>
    <row r="16" spans="1:17" x14ac:dyDescent="0.45">
      <c r="A16">
        <v>0</v>
      </c>
      <c r="B16">
        <v>0</v>
      </c>
      <c r="C16" t="s">
        <v>147</v>
      </c>
      <c r="D16" t="s">
        <v>42</v>
      </c>
      <c r="E16" t="s">
        <v>605</v>
      </c>
      <c r="F16">
        <v>16</v>
      </c>
      <c r="G16">
        <v>0</v>
      </c>
      <c r="K16">
        <v>0</v>
      </c>
      <c r="L16">
        <v>0.2</v>
      </c>
      <c r="M16" s="1">
        <v>68695</v>
      </c>
      <c r="N16">
        <v>0</v>
      </c>
      <c r="P16" t="s">
        <v>147</v>
      </c>
      <c r="Q16" s="6">
        <f t="shared" ref="Q16" si="1">SUMIF($C$6:$C$50,P16,$M$6:$M$50)</f>
        <v>724524</v>
      </c>
    </row>
    <row r="17" spans="1:17" x14ac:dyDescent="0.45">
      <c r="A17">
        <v>0.5</v>
      </c>
      <c r="B17">
        <v>0.5</v>
      </c>
      <c r="C17" t="s">
        <v>132</v>
      </c>
      <c r="D17" t="s">
        <v>186</v>
      </c>
      <c r="E17" t="s">
        <v>488</v>
      </c>
      <c r="F17">
        <v>73</v>
      </c>
      <c r="G17">
        <v>0</v>
      </c>
      <c r="K17">
        <v>0</v>
      </c>
      <c r="L17">
        <v>0.2</v>
      </c>
      <c r="M17" s="1">
        <v>64744</v>
      </c>
      <c r="Q17" s="9">
        <f>SUM(M6:M67)-Q16</f>
        <v>32893153</v>
      </c>
    </row>
    <row r="18" spans="1:17" x14ac:dyDescent="0.45">
      <c r="A18">
        <v>0</v>
      </c>
      <c r="B18">
        <v>1</v>
      </c>
      <c r="C18" t="s">
        <v>132</v>
      </c>
      <c r="D18" t="s">
        <v>608</v>
      </c>
      <c r="E18" t="s">
        <v>609</v>
      </c>
      <c r="F18">
        <v>309</v>
      </c>
      <c r="G18">
        <v>0</v>
      </c>
      <c r="K18">
        <v>0</v>
      </c>
      <c r="L18">
        <v>0.2</v>
      </c>
      <c r="M18" s="1">
        <v>62888</v>
      </c>
    </row>
    <row r="19" spans="1:17" x14ac:dyDescent="0.45">
      <c r="A19">
        <v>0</v>
      </c>
      <c r="B19">
        <v>1</v>
      </c>
      <c r="C19" t="s">
        <v>132</v>
      </c>
      <c r="D19" t="s">
        <v>647</v>
      </c>
      <c r="E19" t="s">
        <v>473</v>
      </c>
      <c r="F19">
        <v>2</v>
      </c>
      <c r="G19">
        <v>0</v>
      </c>
      <c r="K19">
        <v>0</v>
      </c>
      <c r="L19">
        <v>0.1</v>
      </c>
      <c r="M19" s="1">
        <v>28599</v>
      </c>
    </row>
    <row r="20" spans="1:17" x14ac:dyDescent="0.45">
      <c r="A20">
        <v>0.5</v>
      </c>
      <c r="B20">
        <v>0.5</v>
      </c>
      <c r="C20" t="s">
        <v>132</v>
      </c>
      <c r="D20" t="s">
        <v>264</v>
      </c>
      <c r="E20" t="s">
        <v>473</v>
      </c>
      <c r="F20">
        <v>6</v>
      </c>
      <c r="G20">
        <v>0</v>
      </c>
      <c r="K20">
        <v>0</v>
      </c>
      <c r="L20">
        <v>0.1</v>
      </c>
      <c r="M20" s="1">
        <v>22844</v>
      </c>
    </row>
    <row r="21" spans="1:17" x14ac:dyDescent="0.45">
      <c r="A21">
        <v>0</v>
      </c>
      <c r="B21">
        <v>0</v>
      </c>
      <c r="C21" t="s">
        <v>147</v>
      </c>
      <c r="D21" t="s">
        <v>648</v>
      </c>
      <c r="E21" t="s">
        <v>649</v>
      </c>
      <c r="F21">
        <v>1</v>
      </c>
      <c r="G21">
        <v>1</v>
      </c>
      <c r="K21">
        <v>0.15</v>
      </c>
      <c r="L21">
        <v>0.1</v>
      </c>
      <c r="M21" s="1">
        <v>19305</v>
      </c>
      <c r="N21">
        <v>0</v>
      </c>
    </row>
    <row r="22" spans="1:17" x14ac:dyDescent="0.45">
      <c r="A22">
        <v>1</v>
      </c>
      <c r="B22">
        <v>0</v>
      </c>
      <c r="C22" t="s">
        <v>132</v>
      </c>
      <c r="D22" t="s">
        <v>614</v>
      </c>
      <c r="E22" t="s">
        <v>473</v>
      </c>
      <c r="F22">
        <v>12</v>
      </c>
      <c r="G22">
        <v>0</v>
      </c>
      <c r="K22">
        <v>0</v>
      </c>
      <c r="L22">
        <v>0</v>
      </c>
      <c r="M22" s="1">
        <v>11356</v>
      </c>
    </row>
    <row r="23" spans="1:17" x14ac:dyDescent="0.45">
      <c r="A23">
        <v>0</v>
      </c>
      <c r="B23">
        <v>0</v>
      </c>
      <c r="C23" t="s">
        <v>132</v>
      </c>
      <c r="D23" t="s">
        <v>84</v>
      </c>
      <c r="E23" t="s">
        <v>615</v>
      </c>
      <c r="F23">
        <v>25</v>
      </c>
      <c r="G23">
        <v>0</v>
      </c>
      <c r="K23">
        <v>0</v>
      </c>
      <c r="L23">
        <v>0</v>
      </c>
      <c r="M23" s="1">
        <v>7929</v>
      </c>
    </row>
    <row r="24" spans="1:17" x14ac:dyDescent="0.45">
      <c r="A24">
        <v>0</v>
      </c>
      <c r="B24">
        <v>0</v>
      </c>
      <c r="C24" t="s">
        <v>132</v>
      </c>
      <c r="D24" t="s">
        <v>264</v>
      </c>
      <c r="E24" t="s">
        <v>473</v>
      </c>
      <c r="F24">
        <v>23</v>
      </c>
      <c r="G24">
        <v>0</v>
      </c>
      <c r="K24">
        <v>0</v>
      </c>
      <c r="L24">
        <v>0</v>
      </c>
      <c r="M24" s="1">
        <v>7631</v>
      </c>
    </row>
    <row r="25" spans="1:17" x14ac:dyDescent="0.45">
      <c r="A25">
        <v>0</v>
      </c>
      <c r="B25">
        <v>0</v>
      </c>
      <c r="C25" t="s">
        <v>132</v>
      </c>
      <c r="D25" t="s">
        <v>234</v>
      </c>
      <c r="E25" t="s">
        <v>607</v>
      </c>
      <c r="F25">
        <v>13</v>
      </c>
      <c r="G25">
        <v>0</v>
      </c>
      <c r="K25">
        <v>0</v>
      </c>
      <c r="L25">
        <v>0</v>
      </c>
      <c r="M25" s="1">
        <v>7631</v>
      </c>
    </row>
    <row r="26" spans="1:17" x14ac:dyDescent="0.45">
      <c r="A26">
        <v>0</v>
      </c>
      <c r="B26">
        <v>0</v>
      </c>
      <c r="C26" t="s">
        <v>132</v>
      </c>
      <c r="D26" t="s">
        <v>195</v>
      </c>
      <c r="E26" t="s">
        <v>630</v>
      </c>
      <c r="F26">
        <v>8</v>
      </c>
      <c r="G26">
        <v>0</v>
      </c>
      <c r="K26">
        <v>0</v>
      </c>
      <c r="L26">
        <v>0</v>
      </c>
      <c r="M26" s="1">
        <v>6649</v>
      </c>
    </row>
    <row r="27" spans="1:17" x14ac:dyDescent="0.45">
      <c r="A27">
        <v>0</v>
      </c>
      <c r="B27">
        <v>0</v>
      </c>
      <c r="C27" t="s">
        <v>132</v>
      </c>
      <c r="D27" t="s">
        <v>650</v>
      </c>
      <c r="E27" t="s">
        <v>557</v>
      </c>
      <c r="F27">
        <v>1</v>
      </c>
      <c r="G27">
        <v>0</v>
      </c>
      <c r="K27">
        <v>0</v>
      </c>
      <c r="L27">
        <v>0</v>
      </c>
      <c r="M27" s="1">
        <v>6287</v>
      </c>
    </row>
    <row r="28" spans="1:17" x14ac:dyDescent="0.45">
      <c r="A28">
        <v>0</v>
      </c>
      <c r="B28">
        <v>0</v>
      </c>
      <c r="C28" t="s">
        <v>132</v>
      </c>
      <c r="D28" t="s">
        <v>344</v>
      </c>
      <c r="E28" t="s">
        <v>618</v>
      </c>
      <c r="F28">
        <v>14</v>
      </c>
      <c r="G28">
        <v>0</v>
      </c>
      <c r="K28">
        <v>0</v>
      </c>
      <c r="L28">
        <v>0</v>
      </c>
      <c r="M28" s="1">
        <v>4816</v>
      </c>
    </row>
    <row r="29" spans="1:17" x14ac:dyDescent="0.45">
      <c r="A29">
        <v>0</v>
      </c>
      <c r="B29">
        <v>0</v>
      </c>
      <c r="C29" t="s">
        <v>132</v>
      </c>
      <c r="D29" t="s">
        <v>651</v>
      </c>
      <c r="E29" t="s">
        <v>652</v>
      </c>
      <c r="F29">
        <v>1</v>
      </c>
      <c r="G29">
        <v>0</v>
      </c>
      <c r="K29">
        <v>0</v>
      </c>
      <c r="L29">
        <v>0</v>
      </c>
      <c r="M29" s="1">
        <v>4665</v>
      </c>
    </row>
    <row r="30" spans="1:17" x14ac:dyDescent="0.45">
      <c r="A30">
        <v>0</v>
      </c>
      <c r="B30">
        <v>0</v>
      </c>
      <c r="C30" t="s">
        <v>132</v>
      </c>
      <c r="D30" t="s">
        <v>653</v>
      </c>
      <c r="E30" t="s">
        <v>604</v>
      </c>
      <c r="F30">
        <v>17</v>
      </c>
      <c r="G30">
        <v>0</v>
      </c>
      <c r="K30">
        <v>0</v>
      </c>
      <c r="L30">
        <v>0</v>
      </c>
      <c r="M30" s="1">
        <v>4383</v>
      </c>
    </row>
    <row r="31" spans="1:17" x14ac:dyDescent="0.45">
      <c r="A31">
        <v>0</v>
      </c>
      <c r="B31">
        <v>0</v>
      </c>
      <c r="C31" t="s">
        <v>132</v>
      </c>
      <c r="D31" t="s">
        <v>288</v>
      </c>
      <c r="E31" t="s">
        <v>654</v>
      </c>
      <c r="F31">
        <v>8</v>
      </c>
      <c r="G31">
        <v>0</v>
      </c>
      <c r="K31">
        <v>0</v>
      </c>
      <c r="L31">
        <v>0</v>
      </c>
      <c r="M31" s="1">
        <v>4359</v>
      </c>
      <c r="N31">
        <v>0</v>
      </c>
    </row>
    <row r="32" spans="1:17" x14ac:dyDescent="0.45">
      <c r="A32">
        <v>0</v>
      </c>
      <c r="B32">
        <v>0</v>
      </c>
      <c r="C32" t="s">
        <v>132</v>
      </c>
      <c r="D32" t="s">
        <v>655</v>
      </c>
      <c r="E32" t="s">
        <v>656</v>
      </c>
      <c r="F32">
        <v>1</v>
      </c>
      <c r="G32">
        <v>0</v>
      </c>
      <c r="K32">
        <v>0</v>
      </c>
      <c r="L32">
        <v>0</v>
      </c>
      <c r="M32" s="1">
        <v>2658</v>
      </c>
    </row>
    <row r="33" spans="1:13" x14ac:dyDescent="0.45">
      <c r="A33">
        <v>0</v>
      </c>
      <c r="B33">
        <v>0</v>
      </c>
      <c r="C33" t="s">
        <v>132</v>
      </c>
      <c r="D33" t="s">
        <v>657</v>
      </c>
      <c r="E33" t="s">
        <v>658</v>
      </c>
      <c r="F33">
        <v>5</v>
      </c>
      <c r="G33">
        <v>0</v>
      </c>
      <c r="K33">
        <v>0</v>
      </c>
      <c r="L33">
        <v>0</v>
      </c>
      <c r="M33" s="1">
        <v>2538</v>
      </c>
    </row>
    <row r="34" spans="1:13" x14ac:dyDescent="0.45">
      <c r="A34">
        <v>0</v>
      </c>
      <c r="B34">
        <v>0</v>
      </c>
      <c r="C34" t="s">
        <v>132</v>
      </c>
      <c r="D34" t="s">
        <v>659</v>
      </c>
      <c r="E34" t="s">
        <v>473</v>
      </c>
      <c r="F34">
        <v>1</v>
      </c>
      <c r="G34">
        <v>0</v>
      </c>
      <c r="K34">
        <v>0</v>
      </c>
      <c r="L34">
        <v>0</v>
      </c>
      <c r="M34" s="1">
        <v>2256</v>
      </c>
    </row>
    <row r="35" spans="1:13" x14ac:dyDescent="0.45">
      <c r="A35">
        <v>0</v>
      </c>
      <c r="B35">
        <v>0</v>
      </c>
      <c r="C35" t="s">
        <v>132</v>
      </c>
      <c r="D35" t="s">
        <v>660</v>
      </c>
      <c r="E35" t="s">
        <v>661</v>
      </c>
      <c r="F35">
        <v>2</v>
      </c>
      <c r="G35">
        <v>0</v>
      </c>
      <c r="K35">
        <v>0</v>
      </c>
      <c r="L35">
        <v>0</v>
      </c>
      <c r="M35" s="1">
        <v>2133</v>
      </c>
    </row>
    <row r="36" spans="1:13" x14ac:dyDescent="0.45">
      <c r="A36">
        <v>0</v>
      </c>
      <c r="B36">
        <v>0</v>
      </c>
      <c r="C36" t="s">
        <v>132</v>
      </c>
      <c r="D36" t="s">
        <v>662</v>
      </c>
      <c r="E36" t="s">
        <v>473</v>
      </c>
      <c r="F36">
        <v>1</v>
      </c>
      <c r="G36">
        <v>0</v>
      </c>
      <c r="K36">
        <v>0</v>
      </c>
      <c r="L36">
        <v>0</v>
      </c>
      <c r="M36" s="1">
        <v>1094</v>
      </c>
    </row>
    <row r="37" spans="1:13" x14ac:dyDescent="0.45">
      <c r="A37">
        <v>0</v>
      </c>
      <c r="B37">
        <v>0</v>
      </c>
      <c r="C37" t="s">
        <v>132</v>
      </c>
      <c r="D37" t="s">
        <v>663</v>
      </c>
      <c r="E37" t="s">
        <v>664</v>
      </c>
      <c r="F37">
        <v>4</v>
      </c>
      <c r="G37">
        <v>0</v>
      </c>
      <c r="K37">
        <v>0</v>
      </c>
      <c r="L37">
        <v>0</v>
      </c>
      <c r="M37" s="1">
        <v>1085</v>
      </c>
    </row>
    <row r="38" spans="1:13" x14ac:dyDescent="0.45">
      <c r="A38">
        <v>0</v>
      </c>
      <c r="B38">
        <v>0</v>
      </c>
      <c r="C38" t="s">
        <v>132</v>
      </c>
      <c r="D38" t="s">
        <v>665</v>
      </c>
      <c r="E38" t="s">
        <v>666</v>
      </c>
      <c r="F38">
        <v>8</v>
      </c>
      <c r="G38">
        <v>0</v>
      </c>
      <c r="K38">
        <v>0</v>
      </c>
      <c r="L38">
        <v>0</v>
      </c>
      <c r="M38">
        <v>745</v>
      </c>
    </row>
    <row r="39" spans="1:13" x14ac:dyDescent="0.45">
      <c r="A39">
        <v>0</v>
      </c>
      <c r="B39">
        <v>0</v>
      </c>
      <c r="C39" t="s">
        <v>132</v>
      </c>
      <c r="D39" t="s">
        <v>667</v>
      </c>
      <c r="E39" t="s">
        <v>473</v>
      </c>
      <c r="F39">
        <v>1</v>
      </c>
      <c r="G39">
        <v>0</v>
      </c>
      <c r="K39">
        <v>0</v>
      </c>
      <c r="L39">
        <v>0</v>
      </c>
      <c r="M39">
        <v>649</v>
      </c>
    </row>
    <row r="40" spans="1:13" x14ac:dyDescent="0.45">
      <c r="A40">
        <v>0</v>
      </c>
      <c r="B40">
        <v>0</v>
      </c>
      <c r="C40" t="s">
        <v>132</v>
      </c>
      <c r="D40" t="s">
        <v>668</v>
      </c>
      <c r="E40" t="s">
        <v>669</v>
      </c>
      <c r="F40">
        <v>4</v>
      </c>
      <c r="G40">
        <v>0</v>
      </c>
      <c r="K40">
        <v>0</v>
      </c>
      <c r="L40">
        <v>0</v>
      </c>
      <c r="M40">
        <v>603</v>
      </c>
    </row>
  </sheetData>
  <conditionalFormatting sqref="A6:B40">
    <cfRule type="colorScale" priority="4">
      <colorScale>
        <cfvo type="min"/>
        <cfvo type="max"/>
        <color rgb="FFFCFCFF"/>
        <color rgb="FF63BE7B"/>
      </colorScale>
    </cfRule>
  </conditionalFormatting>
  <conditionalFormatting sqref="Q8:Q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historic_combined</vt:lpstr>
      <vt:lpstr>historic_votes</vt:lpstr>
      <vt:lpstr>manual_extract</vt:lpstr>
      <vt:lpstr>2024</vt:lpstr>
      <vt:lpstr>2019</vt:lpstr>
      <vt:lpstr>2017</vt:lpstr>
      <vt:lpstr>2015</vt:lpstr>
      <vt:lpstr>2010</vt:lpstr>
      <vt:lpstr>2005</vt:lpstr>
      <vt:lpstr>2001</vt:lpstr>
      <vt:lpstr>1997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Simpson</dc:creator>
  <cp:lastModifiedBy>Keith Simpson</cp:lastModifiedBy>
  <dcterms:created xsi:type="dcterms:W3CDTF">2026-01-27T20:15:26Z</dcterms:created>
  <dcterms:modified xsi:type="dcterms:W3CDTF">2026-02-01T22:51:01Z</dcterms:modified>
</cp:coreProperties>
</file>